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gerlin/Documents/GitHub/SDL-for-low-temperature-ZIB-electrolyte-optimiztion/source data/"/>
    </mc:Choice>
  </mc:AlternateContent>
  <xr:revisionPtr revIDLastSave="0" documentId="13_ncr:1_{23CAC691-58A4-7C4A-BF89-E71A17C8B4E1}" xr6:coauthVersionLast="47" xr6:coauthVersionMax="47" xr10:uidLastSave="{00000000-0000-0000-0000-000000000000}"/>
  <bookViews>
    <workbookView xWindow="0" yWindow="640" windowWidth="34560" windowHeight="21700" activeTab="1" xr2:uid="{C0319422-2C05-7840-8738-65B20D86A76B}"/>
  </bookViews>
  <sheets>
    <sheet name="Table of Content" sheetId="2" r:id="rId1"/>
    <sheet name="random_v_bo campaign" sheetId="6" r:id="rId2"/>
    <sheet name="Single-obj opt_HE1" sheetId="1" r:id="rId3"/>
    <sheet name="Multi-obj opt_HE1`" sheetId="3" r:id="rId4"/>
    <sheet name="Multi-obj opt_HE2" sheetId="4" r:id="rId5"/>
    <sheet name="Multi-obj opt_HE3" sheetId="5" r:id="rId6"/>
  </sheets>
  <definedNames>
    <definedName name="_xlnm._FilterDatabase" localSheetId="5" hidden="1">'Multi-obj opt_HE3'!$A$1:$AI$116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Z2" i="1" s="1"/>
  <c r="AA2" i="1"/>
  <c r="Y2" i="1"/>
  <c r="X2" i="1"/>
  <c r="W2" i="1"/>
  <c r="V2" i="1"/>
  <c r="U5" i="1"/>
</calcChain>
</file>

<file path=xl/sharedStrings.xml><?xml version="1.0" encoding="utf-8"?>
<sst xmlns="http://schemas.openxmlformats.org/spreadsheetml/2006/main" count="1026" uniqueCount="232">
  <si>
    <t>Mode</t>
  </si>
  <si>
    <t>Conductivity_Mean</t>
  </si>
  <si>
    <t>Conductivity_STD</t>
  </si>
  <si>
    <t>Conductivity_1</t>
  </si>
  <si>
    <t>Conductivity_2</t>
  </si>
  <si>
    <t>Conductivity_3</t>
  </si>
  <si>
    <t>Conductivity_4</t>
  </si>
  <si>
    <t>Liquid_1</t>
  </si>
  <si>
    <t>Liquid_2</t>
  </si>
  <si>
    <t>Liquid_3</t>
  </si>
  <si>
    <t>Liquid_4</t>
  </si>
  <si>
    <t>Liquid_5</t>
  </si>
  <si>
    <t>Water</t>
  </si>
  <si>
    <t>Liquid_1_Concentration</t>
  </si>
  <si>
    <t>Liquid_2_Concentration</t>
  </si>
  <si>
    <t>Liquid_3_Concentration</t>
  </si>
  <si>
    <t>Liquid_4_Concentration</t>
  </si>
  <si>
    <t>Liquid_5_Concentration</t>
  </si>
  <si>
    <t>Zn_Concentration</t>
  </si>
  <si>
    <t>rand</t>
  </si>
  <si>
    <t>bo</t>
  </si>
  <si>
    <t>#</t>
  </si>
  <si>
    <t>Name</t>
  </si>
  <si>
    <t>Description</t>
  </si>
  <si>
    <t>Remark</t>
  </si>
  <si>
    <t>Single-obj opt_HE1</t>
  </si>
  <si>
    <t xml:space="preserve">Data of single objective optimization </t>
  </si>
  <si>
    <t>Potential_Mean</t>
  </si>
  <si>
    <t>Potential_STD</t>
  </si>
  <si>
    <t>OER_Mean</t>
  </si>
  <si>
    <t>OER_STD</t>
  </si>
  <si>
    <t>HER_Mean</t>
  </si>
  <si>
    <t>HER_STD</t>
  </si>
  <si>
    <t>Potential_1</t>
  </si>
  <si>
    <t>Potential_2</t>
  </si>
  <si>
    <t>Potential_3</t>
  </si>
  <si>
    <t>Potential_4</t>
  </si>
  <si>
    <t>OER_1</t>
  </si>
  <si>
    <t>OER_2</t>
  </si>
  <si>
    <t>OER_3</t>
  </si>
  <si>
    <t>OER_4</t>
  </si>
  <si>
    <t>HER_1</t>
  </si>
  <si>
    <t>HER_2</t>
  </si>
  <si>
    <t>HER_3</t>
  </si>
  <si>
    <t>HER_4</t>
  </si>
  <si>
    <t>7.53E-06</t>
  </si>
  <si>
    <t>1.51E-05</t>
  </si>
  <si>
    <t>2.03E-05</t>
  </si>
  <si>
    <t>1.28E-05</t>
  </si>
  <si>
    <t>1.59E-05</t>
  </si>
  <si>
    <t>1.15E-05</t>
  </si>
  <si>
    <t>4.02E-05</t>
  </si>
  <si>
    <t>2.20E-05</t>
  </si>
  <si>
    <t>Multi-obj opt_HE1`</t>
  </si>
  <si>
    <t xml:space="preserve">Data of multiple objective optimization </t>
  </si>
  <si>
    <r>
      <t>Liquid_1: ZnCl</t>
    </r>
    <r>
      <rPr>
        <vertAlign val="subscript"/>
        <sz val="12"/>
        <color theme="1"/>
        <rFont val="ArialMT"/>
      </rPr>
      <t xml:space="preserve">2 </t>
    </r>
    <r>
      <rPr>
        <sz val="12"/>
        <color theme="1"/>
        <rFont val="ArialMT"/>
      </rPr>
      <t>(15 m)</t>
    </r>
    <r>
      <rPr>
        <sz val="12"/>
        <color theme="1"/>
        <rFont val="ArialMT"/>
        <family val="2"/>
      </rPr>
      <t xml:space="preserve">
Liquid_2: Zn(BF</t>
    </r>
    <r>
      <rPr>
        <vertAlign val="subscript"/>
        <sz val="12"/>
        <color theme="1"/>
        <rFont val="ArialMT"/>
      </rPr>
      <t>4</t>
    </r>
    <r>
      <rPr>
        <sz val="12"/>
        <color theme="1"/>
        <rFont val="ArialMT"/>
        <family val="2"/>
      </rPr>
      <t>)</t>
    </r>
    <r>
      <rPr>
        <vertAlign val="subscript"/>
        <sz val="12"/>
        <color theme="1"/>
        <rFont val="ArialMT"/>
      </rPr>
      <t xml:space="preserve">2 </t>
    </r>
    <r>
      <rPr>
        <sz val="12"/>
        <color theme="1"/>
        <rFont val="ArialMT"/>
      </rPr>
      <t>(10 m)</t>
    </r>
    <r>
      <rPr>
        <sz val="12"/>
        <color theme="1"/>
        <rFont val="ArialMT"/>
        <family val="2"/>
      </rPr>
      <t xml:space="preserve">
Liquid_3: satureated Zn(ClO</t>
    </r>
    <r>
      <rPr>
        <vertAlign val="subscript"/>
        <sz val="12"/>
        <color theme="1"/>
        <rFont val="ArialMT"/>
      </rPr>
      <t>4</t>
    </r>
    <r>
      <rPr>
        <sz val="12"/>
        <color theme="1"/>
        <rFont val="ArialMT"/>
      </rPr>
      <t>)</t>
    </r>
    <r>
      <rPr>
        <vertAlign val="subscript"/>
        <sz val="12"/>
        <color theme="1"/>
        <rFont val="ArialMT"/>
      </rPr>
      <t xml:space="preserve">2 </t>
    </r>
    <r>
      <rPr>
        <sz val="12"/>
        <color theme="1"/>
        <rFont val="ArialMT"/>
      </rPr>
      <t>(4.29 m)</t>
    </r>
    <r>
      <rPr>
        <sz val="12"/>
        <color theme="1"/>
        <rFont val="ArialMT"/>
        <family val="2"/>
      </rPr>
      <t xml:space="preserve">
Liquid_4: saturated Zn(OTf)</t>
    </r>
    <r>
      <rPr>
        <vertAlign val="subscript"/>
        <sz val="12"/>
        <color theme="1"/>
        <rFont val="ArialMT"/>
      </rPr>
      <t>2</t>
    </r>
    <r>
      <rPr>
        <sz val="12"/>
        <color theme="1"/>
        <rFont val="ArialMT"/>
      </rPr>
      <t xml:space="preserve"> (4 m)</t>
    </r>
    <r>
      <rPr>
        <sz val="12"/>
        <color theme="1"/>
        <rFont val="ArialMT"/>
        <family val="2"/>
      </rPr>
      <t xml:space="preserve">
Liquid_5: saturated Zn(Gluconate)</t>
    </r>
    <r>
      <rPr>
        <vertAlign val="subscript"/>
        <sz val="12"/>
        <color theme="1"/>
        <rFont val="ArialMT"/>
      </rPr>
      <t>2</t>
    </r>
    <r>
      <rPr>
        <sz val="12"/>
        <color theme="1"/>
        <rFont val="ArialMT"/>
      </rPr>
      <t xml:space="preserve"> (0.219 m)</t>
    </r>
  </si>
  <si>
    <t>2.10E-05</t>
  </si>
  <si>
    <t>1.40E-05</t>
  </si>
  <si>
    <t>1.55E-05</t>
  </si>
  <si>
    <t>1.86E-05</t>
  </si>
  <si>
    <t>1.70E-05</t>
  </si>
  <si>
    <t>2.35E-05</t>
  </si>
  <si>
    <t>2.16E-05</t>
  </si>
  <si>
    <t>2.21E-05</t>
  </si>
  <si>
    <t>2.61E-05</t>
  </si>
  <si>
    <t>7.87E-06</t>
  </si>
  <si>
    <t>1.80E-05</t>
  </si>
  <si>
    <t>9.97E-06</t>
  </si>
  <si>
    <t>2.43E-05</t>
  </si>
  <si>
    <t>1.69E-05</t>
  </si>
  <si>
    <t>2.51E-05</t>
  </si>
  <si>
    <t>1.29E-05</t>
  </si>
  <si>
    <t>2.63E-05</t>
  </si>
  <si>
    <t>2.18E-05</t>
  </si>
  <si>
    <t>8.04E-06</t>
  </si>
  <si>
    <t>1.96E-05</t>
  </si>
  <si>
    <t>1.63E-05</t>
  </si>
  <si>
    <t>3.42E-05</t>
  </si>
  <si>
    <t>7.81E-06</t>
  </si>
  <si>
    <t>1.27E-05</t>
  </si>
  <si>
    <t>1.26E-05</t>
  </si>
  <si>
    <t>1.67E-05</t>
  </si>
  <si>
    <t>Multi-obj opt_HE2</t>
  </si>
  <si>
    <t>1.13E-05</t>
  </si>
  <si>
    <t>1.72E-05</t>
  </si>
  <si>
    <t>2.60E-05</t>
  </si>
  <si>
    <t>1.75E-05</t>
  </si>
  <si>
    <t>1.85E-05</t>
  </si>
  <si>
    <t>8.34E-06</t>
  </si>
  <si>
    <t>1.83E-05</t>
  </si>
  <si>
    <t>Multi-obj opt_HE3</t>
  </si>
  <si>
    <r>
      <t>Liquid_1: ZnCl</t>
    </r>
    <r>
      <rPr>
        <vertAlign val="subscript"/>
        <sz val="12"/>
        <color theme="1"/>
        <rFont val="ArialMT"/>
      </rPr>
      <t xml:space="preserve">2 </t>
    </r>
    <r>
      <rPr>
        <sz val="12"/>
        <color theme="1"/>
        <rFont val="ArialMT"/>
      </rPr>
      <t>(15 m)</t>
    </r>
    <r>
      <rPr>
        <sz val="12"/>
        <color theme="1"/>
        <rFont val="ArialMT"/>
        <family val="2"/>
      </rPr>
      <t xml:space="preserve">
Liquid_2: Zn(ClO</t>
    </r>
    <r>
      <rPr>
        <vertAlign val="subscript"/>
        <sz val="12"/>
        <color theme="1"/>
        <rFont val="ArialMT"/>
      </rPr>
      <t>4</t>
    </r>
    <r>
      <rPr>
        <sz val="12"/>
        <color theme="1"/>
        <rFont val="ArialMT"/>
      </rPr>
      <t>)</t>
    </r>
    <r>
      <rPr>
        <vertAlign val="subscript"/>
        <sz val="12"/>
        <color theme="1"/>
        <rFont val="ArialMT"/>
      </rPr>
      <t xml:space="preserve">2 </t>
    </r>
    <r>
      <rPr>
        <sz val="12"/>
        <color theme="1"/>
        <rFont val="ArialMT"/>
      </rPr>
      <t>(4 m)</t>
    </r>
    <r>
      <rPr>
        <sz val="12"/>
        <color theme="1"/>
        <rFont val="ArialMT"/>
        <family val="2"/>
      </rPr>
      <t xml:space="preserve">
Liquid_3: Zn(OTf)</t>
    </r>
    <r>
      <rPr>
        <vertAlign val="subscript"/>
        <sz val="12"/>
        <color theme="1"/>
        <rFont val="ArialMT"/>
      </rPr>
      <t>2</t>
    </r>
    <r>
      <rPr>
        <sz val="12"/>
        <color theme="1"/>
        <rFont val="ArialMT"/>
      </rPr>
      <t xml:space="preserve"> (3.5 m)</t>
    </r>
    <r>
      <rPr>
        <sz val="12"/>
        <color theme="1"/>
        <rFont val="ArialMT"/>
        <family val="2"/>
      </rPr>
      <t xml:space="preserve">
Liquid_4: saturated Zn(Gluconate)</t>
    </r>
    <r>
      <rPr>
        <vertAlign val="subscript"/>
        <sz val="12"/>
        <color theme="1"/>
        <rFont val="ArialMT"/>
      </rPr>
      <t>2</t>
    </r>
    <r>
      <rPr>
        <sz val="12"/>
        <color theme="1"/>
        <rFont val="ArialMT"/>
      </rPr>
      <t xml:space="preserve"> (0.219 m)</t>
    </r>
  </si>
  <si>
    <t>0.5677721915351116</t>
  </si>
  <si>
    <t>53.88003487500001</t>
  </si>
  <si>
    <t>2.8738159999999997</t>
  </si>
  <si>
    <t>0.40555599999999997</t>
  </si>
  <si>
    <t>3.9967399999999995</t>
  </si>
  <si>
    <t>0.2207550843301207</t>
  </si>
  <si>
    <t>0.3868842640690503</t>
  </si>
  <si>
    <t>6.7876840000000005</t>
  </si>
  <si>
    <t>0.11993091942246459</t>
  </si>
  <si>
    <t>1.4369079999999999</t>
  </si>
  <si>
    <t>0.7293000000000001</t>
  </si>
  <si>
    <t>1.1088427702207486</t>
  </si>
  <si>
    <t>15.283475999999999</t>
  </si>
  <si>
    <t>15.717471999999999</t>
  </si>
  <si>
    <t>0.31688776510097305</t>
  </si>
  <si>
    <t>2.9645879999999996</t>
  </si>
  <si>
    <t>60.664655419999995</t>
  </si>
  <si>
    <t>0.4507102971183678</t>
  </si>
  <si>
    <t>1.0010000000000001</t>
  </si>
  <si>
    <t>4.768572000000001</t>
  </si>
  <si>
    <t>68.32491903249999</t>
  </si>
  <si>
    <t>0.6625718824531347</t>
  </si>
  <si>
    <t>12.279031999999999</t>
  </si>
  <si>
    <t>0.45801993564319476</t>
  </si>
  <si>
    <t>1.4179041612384322</t>
  </si>
  <si>
    <t>0.5720000000000001</t>
  </si>
  <si>
    <t>2.757547355057879</t>
  </si>
  <si>
    <t>0.41859772422076225</t>
  </si>
  <si>
    <t>1.3062799999999999</t>
  </si>
  <si>
    <t>0.28600000000000003</t>
  </si>
  <si>
    <t>0.060444000000000005</t>
  </si>
  <si>
    <t>36.72075082666667</t>
  </si>
  <si>
    <t>2.8045367754294217</t>
  </si>
  <si>
    <t>2.6247822202591182</t>
  </si>
  <si>
    <t>0.6046852214423029</t>
  </si>
  <si>
    <t>44.589256172499994</t>
  </si>
  <si>
    <t>0.18810642367511635</t>
  </si>
  <si>
    <t>5.481528000000001</t>
  </si>
  <si>
    <t>2.026883318739625</t>
  </si>
  <si>
    <t>9.666471999999999</t>
  </si>
  <si>
    <t>0.6494440449890824</t>
  </si>
  <si>
    <t>1.7668519999999999</t>
  </si>
  <si>
    <t>0.38525999109399206</t>
  </si>
  <si>
    <t>0.5003302424006586</t>
  </si>
  <si>
    <t>0.6942665810177673</t>
  </si>
  <si>
    <t>1.1440000000000001</t>
  </si>
  <si>
    <t>6.5996879999999996</t>
  </si>
  <si>
    <t>0.49530731734543004</t>
  </si>
  <si>
    <t>30.318150087499998</t>
  </si>
  <si>
    <t>0.9146549278455668</t>
  </si>
  <si>
    <t>0.15061109114819485</t>
  </si>
  <si>
    <t>4.476547999999999</t>
  </si>
  <si>
    <t>0.7581717667625103</t>
  </si>
  <si>
    <t>0.5591424189446453</t>
  </si>
  <si>
    <t>3.2279640000000005</t>
  </si>
  <si>
    <t>0.035916000000000003</t>
  </si>
  <si>
    <t>10.688351999999998</t>
  </si>
  <si>
    <t>47.04579585250001</t>
  </si>
  <si>
    <t>0.5161493741710436</t>
  </si>
  <si>
    <t>0.17599599999999999</t>
  </si>
  <si>
    <t>0.12088800000000001</t>
  </si>
  <si>
    <t>1.9502200000000003</t>
  </si>
  <si>
    <t>28.629007063333333</t>
  </si>
  <si>
    <t>1.4764739334736934</t>
  </si>
  <si>
    <t>4.833235999999999</t>
  </si>
  <si>
    <t>0.018396000000000003</t>
  </si>
  <si>
    <t>6.826931999999999</t>
  </si>
  <si>
    <t>45.703182979999994</t>
  </si>
  <si>
    <t>1.7934715286720417</t>
  </si>
  <si>
    <t>0.056940000000000004</t>
  </si>
  <si>
    <t>1.2930151084552908</t>
  </si>
  <si>
    <t>34.52942819333333</t>
  </si>
  <si>
    <t>0.8807187615970081</t>
  </si>
  <si>
    <t>0.29842799999999997</t>
  </si>
  <si>
    <t>8.433271999999999</t>
  </si>
  <si>
    <t>16.292930253333335</t>
  </si>
  <si>
    <t>1.090726717165428</t>
  </si>
  <si>
    <t>15.936615999999999</t>
  </si>
  <si>
    <t>17.154619999999998</t>
  </si>
  <si>
    <t>1.2548409653125085</t>
  </si>
  <si>
    <t>0.3194630195708421</t>
  </si>
  <si>
    <t>4.330487999999999</t>
  </si>
  <si>
    <t>39.203241337499996</t>
  </si>
  <si>
    <t>1.180872615354842</t>
  </si>
  <si>
    <t>0.4284976376110112</t>
  </si>
  <si>
    <t>1.0665826041012425</t>
  </si>
  <si>
    <t>4.110379999999999</t>
  </si>
  <si>
    <t>1.2881385508355896</t>
  </si>
  <si>
    <t>12.655899999999999</t>
  </si>
  <si>
    <t>42.932141092500004</t>
  </si>
  <si>
    <t>0.5220898295378614</t>
  </si>
  <si>
    <t>0.042924000000000004</t>
  </si>
  <si>
    <t>3.0093880000000004</t>
  </si>
  <si>
    <t>54.351613773333334</t>
  </si>
  <si>
    <t>0.5826598898492974</t>
  </si>
  <si>
    <t>9.407152000000002</t>
  </si>
  <si>
    <t>0.35436298508875935</t>
  </si>
  <si>
    <t>0.10074000000000001</t>
  </si>
  <si>
    <t>0.2984635599740694</t>
  </si>
  <si>
    <t>0.14300000000000002</t>
  </si>
  <si>
    <t>56.01757197333333</t>
  </si>
  <si>
    <t>1.6725690653191656</t>
  </si>
  <si>
    <t>0.4612388101067615</t>
  </si>
  <si>
    <t>0.35199199999999997</t>
  </si>
  <si>
    <t>0.021900000000000003</t>
  </si>
  <si>
    <t>5.335827999999999</t>
  </si>
  <si>
    <t>0.22861875332547804</t>
  </si>
  <si>
    <t>4.844315999999999</t>
  </si>
  <si>
    <t>0.3195678248727552</t>
  </si>
  <si>
    <t>4.3018920000000005</t>
  </si>
  <si>
    <t>49.528466294999994</t>
  </si>
  <si>
    <t>0.26082957448494254</t>
  </si>
  <si>
    <t>4.4580720000000005</t>
  </si>
  <si>
    <t>17.005722176666666</t>
  </si>
  <si>
    <t>1.1690348904381527</t>
  </si>
  <si>
    <t>13.454683999999999</t>
  </si>
  <si>
    <t>15.231891999999998</t>
  </si>
  <si>
    <t>24.907431009999996</t>
  </si>
  <si>
    <t>0.22830100510890622</t>
  </si>
  <si>
    <t>0.6531399999999999</t>
  </si>
  <si>
    <t>0.028908000000000003</t>
  </si>
  <si>
    <t>2.7003839999999997</t>
  </si>
  <si>
    <t>43.081764754999995</t>
  </si>
  <si>
    <t>2.117327112700659</t>
  </si>
  <si>
    <t>3.5269559999999998</t>
  </si>
  <si>
    <t>0.4164443271310923</t>
  </si>
  <si>
    <t>4.508647999999999</t>
  </si>
  <si>
    <t>0.23279896239353962</t>
  </si>
  <si>
    <t>4.642733269605571</t>
  </si>
  <si>
    <t>43.789800590000006</t>
  </si>
  <si>
    <t>1.112975369474277</t>
  </si>
  <si>
    <t>0.036792000000000005</t>
  </si>
  <si>
    <t>10.021576000000001</t>
  </si>
  <si>
    <t>0.7369421843935279</t>
  </si>
  <si>
    <t>7.0539119999999995</t>
  </si>
  <si>
    <t>random_v_bo campaign</t>
  </si>
  <si>
    <t>Comparison of random search and BO in ionic conductivity optimization campaign</t>
  </si>
  <si>
    <r>
      <t>Liquid_1: saturated ZnCl</t>
    </r>
    <r>
      <rPr>
        <vertAlign val="subscript"/>
        <sz val="12"/>
        <color theme="1"/>
        <rFont val="ArialMT"/>
      </rPr>
      <t xml:space="preserve">2 </t>
    </r>
    <r>
      <rPr>
        <sz val="12"/>
        <color theme="1"/>
        <rFont val="ArialMT"/>
      </rPr>
      <t>(15 m)</t>
    </r>
    <r>
      <rPr>
        <sz val="12"/>
        <color theme="1"/>
        <rFont val="ArialMT"/>
        <family val="2"/>
      </rPr>
      <t xml:space="preserve">
Liquid_2: saturated ZnBr</t>
    </r>
    <r>
      <rPr>
        <vertAlign val="subscript"/>
        <sz val="12"/>
        <color theme="1"/>
        <rFont val="ArialMT"/>
      </rPr>
      <t xml:space="preserve">2 </t>
    </r>
    <r>
      <rPr>
        <sz val="12"/>
        <color theme="1"/>
        <rFont val="ArialMT"/>
      </rPr>
      <t>(10 m)</t>
    </r>
    <r>
      <rPr>
        <sz val="12"/>
        <color theme="1"/>
        <rFont val="ArialMT"/>
        <family val="2"/>
      </rPr>
      <t xml:space="preserve">
Liquid_3: satureated ZnSO</t>
    </r>
    <r>
      <rPr>
        <vertAlign val="subscript"/>
        <sz val="12"/>
        <color theme="1"/>
        <rFont val="ArialMT"/>
      </rPr>
      <t xml:space="preserve">4 </t>
    </r>
    <r>
      <rPr>
        <sz val="12"/>
        <color theme="1"/>
        <rFont val="ArialMT"/>
      </rPr>
      <t>(3.575 m)</t>
    </r>
    <r>
      <rPr>
        <sz val="12"/>
        <color theme="1"/>
        <rFont val="ArialMT"/>
        <family val="2"/>
      </rPr>
      <t xml:space="preserve">
Liquid_4: saturated Zn(OAc)</t>
    </r>
    <r>
      <rPr>
        <vertAlign val="subscript"/>
        <sz val="12"/>
        <color theme="1"/>
        <rFont val="ArialMT"/>
      </rPr>
      <t>2</t>
    </r>
    <r>
      <rPr>
        <sz val="12"/>
        <color theme="1"/>
        <rFont val="ArialMT"/>
      </rPr>
      <t xml:space="preserve"> (1.913 m)</t>
    </r>
    <r>
      <rPr>
        <sz val="12"/>
        <color theme="1"/>
        <rFont val="ArialMT"/>
        <family val="2"/>
      </rPr>
      <t xml:space="preserve">
Liquid_5: saturated Zn(Gluconate)</t>
    </r>
    <r>
      <rPr>
        <vertAlign val="subscript"/>
        <sz val="12"/>
        <color theme="1"/>
        <rFont val="ArialMT"/>
      </rPr>
      <t>2</t>
    </r>
    <r>
      <rPr>
        <sz val="12"/>
        <color theme="1"/>
        <rFont val="ArialMT"/>
      </rPr>
      <t xml:space="preserve"> (0.219 m)</t>
    </r>
  </si>
  <si>
    <r>
      <t>Liquid_1: saturated ZnCl</t>
    </r>
    <r>
      <rPr>
        <vertAlign val="subscript"/>
        <sz val="12"/>
        <color theme="1"/>
        <rFont val="ArialMT"/>
      </rPr>
      <t xml:space="preserve">2 </t>
    </r>
    <r>
      <rPr>
        <sz val="12"/>
        <color theme="1"/>
        <rFont val="ArialMT"/>
      </rPr>
      <t>(32.657 m)</t>
    </r>
    <r>
      <rPr>
        <sz val="12"/>
        <color theme="1"/>
        <rFont val="ArialMT"/>
        <family val="2"/>
      </rPr>
      <t xml:space="preserve">
Liquid_2: satureated ZnSO</t>
    </r>
    <r>
      <rPr>
        <vertAlign val="subscript"/>
        <sz val="12"/>
        <color theme="1"/>
        <rFont val="ArialMT"/>
      </rPr>
      <t xml:space="preserve">4 </t>
    </r>
    <r>
      <rPr>
        <sz val="12"/>
        <color theme="1"/>
        <rFont val="ArialMT"/>
      </rPr>
      <t>(3.575 m)</t>
    </r>
    <r>
      <rPr>
        <sz val="12"/>
        <color theme="1"/>
        <rFont val="ArialMT"/>
        <family val="2"/>
      </rPr>
      <t xml:space="preserve">
Liquid_3: saturated Zn(OAc)</t>
    </r>
    <r>
      <rPr>
        <vertAlign val="subscript"/>
        <sz val="12"/>
        <color theme="1"/>
        <rFont val="ArialMT"/>
      </rPr>
      <t>2</t>
    </r>
    <r>
      <rPr>
        <sz val="12"/>
        <color theme="1"/>
        <rFont val="ArialMT"/>
      </rPr>
      <t xml:space="preserve"> (1.913 m)</t>
    </r>
    <r>
      <rPr>
        <sz val="12"/>
        <color theme="1"/>
        <rFont val="ArialMT"/>
        <family val="2"/>
      </rPr>
      <t xml:space="preserve">
Liquid_4: saturated Zn(Gluconate)</t>
    </r>
    <r>
      <rPr>
        <vertAlign val="subscript"/>
        <sz val="12"/>
        <color theme="1"/>
        <rFont val="ArialMT"/>
      </rPr>
      <t>2</t>
    </r>
    <r>
      <rPr>
        <sz val="12"/>
        <color theme="1"/>
        <rFont val="ArialMT"/>
      </rPr>
      <t xml:space="preserve"> (0.219 m)</t>
    </r>
  </si>
  <si>
    <r>
      <t>Liquid_1: saturated ZnCl</t>
    </r>
    <r>
      <rPr>
        <vertAlign val="subscript"/>
        <sz val="12"/>
        <color theme="1"/>
        <rFont val="ArialMT"/>
      </rPr>
      <t xml:space="preserve">2 </t>
    </r>
    <r>
      <rPr>
        <sz val="12"/>
        <color theme="1"/>
        <rFont val="ArialMT"/>
      </rPr>
      <t>(32.657 m)</t>
    </r>
    <r>
      <rPr>
        <sz val="12"/>
        <color theme="1"/>
        <rFont val="ArialMT"/>
        <family val="2"/>
      </rPr>
      <t xml:space="preserve">
Liquid_2: saturated ZnBr</t>
    </r>
    <r>
      <rPr>
        <vertAlign val="subscript"/>
        <sz val="12"/>
        <color theme="1"/>
        <rFont val="ArialMT"/>
      </rPr>
      <t xml:space="preserve">2 </t>
    </r>
    <r>
      <rPr>
        <sz val="12"/>
        <color theme="1"/>
        <rFont val="ArialMT"/>
      </rPr>
      <t>(20.915 m)</t>
    </r>
    <r>
      <rPr>
        <sz val="12"/>
        <color theme="1"/>
        <rFont val="ArialMT"/>
        <family val="2"/>
      </rPr>
      <t xml:space="preserve">
Liquid_3: satureated ZnSO</t>
    </r>
    <r>
      <rPr>
        <vertAlign val="subscript"/>
        <sz val="12"/>
        <color theme="1"/>
        <rFont val="ArialMT"/>
      </rPr>
      <t xml:space="preserve">4 </t>
    </r>
    <r>
      <rPr>
        <sz val="12"/>
        <color theme="1"/>
        <rFont val="ArialMT"/>
      </rPr>
      <t>(3.575 m)</t>
    </r>
    <r>
      <rPr>
        <sz val="12"/>
        <color theme="1"/>
        <rFont val="ArialMT"/>
        <family val="2"/>
      </rPr>
      <t xml:space="preserve">
Liquid_4: saturated Zn(OAc)</t>
    </r>
    <r>
      <rPr>
        <vertAlign val="subscript"/>
        <sz val="12"/>
        <color theme="1"/>
        <rFont val="ArialMT"/>
      </rPr>
      <t>2</t>
    </r>
    <r>
      <rPr>
        <sz val="12"/>
        <color theme="1"/>
        <rFont val="ArialMT"/>
      </rPr>
      <t xml:space="preserve"> (1.913 m)</t>
    </r>
    <r>
      <rPr>
        <sz val="12"/>
        <color theme="1"/>
        <rFont val="ArialMT"/>
        <family val="2"/>
      </rPr>
      <t xml:space="preserve">
Liquid_5: saturated Zn(Gluconate)</t>
    </r>
    <r>
      <rPr>
        <vertAlign val="subscript"/>
        <sz val="12"/>
        <color theme="1"/>
        <rFont val="ArialMT"/>
      </rPr>
      <t>2</t>
    </r>
    <r>
      <rPr>
        <sz val="12"/>
        <color theme="1"/>
        <rFont val="ArialMT"/>
      </rPr>
      <t xml:space="preserve"> (0.219 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</si>
</sst>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rialMT"/>
      <family val="2"/>
    </font>
    <font>
      <vertAlign val="subscript"/>
      <sz val="12"/>
      <color theme="1"/>
      <name val="ArialMT"/>
    </font>
    <font>
      <sz val="12"/>
      <color theme="1"/>
      <name val="ArialM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E7DE4-EA2A-F645-8F47-792DAD65B977}">
  <dimension ref="A1:D6"/>
  <sheetViews>
    <sheetView zoomScale="150" workbookViewId="0">
      <selection activeCell="D4" sqref="D4"/>
    </sheetView>
  </sheetViews>
  <sheetFormatPr baseColWidth="10" defaultRowHeight="16"/>
  <cols>
    <col min="1" max="1" width="10.7109375" style="1"/>
    <col min="2" max="2" width="20.140625" style="1" bestFit="1" customWidth="1"/>
    <col min="3" max="3" width="34.42578125" style="1" customWidth="1"/>
    <col min="4" max="4" width="36.7109375" style="1" customWidth="1"/>
    <col min="5" max="16384" width="10.7109375" style="1"/>
  </cols>
  <sheetData>
    <row r="1" spans="1:4">
      <c r="A1" s="2" t="s">
        <v>21</v>
      </c>
      <c r="B1" s="2" t="s">
        <v>22</v>
      </c>
      <c r="C1" s="2" t="s">
        <v>23</v>
      </c>
      <c r="D1" s="2" t="s">
        <v>24</v>
      </c>
    </row>
    <row r="2" spans="1:4" ht="76">
      <c r="A2" s="2">
        <v>1</v>
      </c>
      <c r="B2" s="2" t="s">
        <v>227</v>
      </c>
      <c r="C2" s="3" t="s">
        <v>228</v>
      </c>
      <c r="D2" s="4" t="s">
        <v>230</v>
      </c>
    </row>
    <row r="3" spans="1:4" ht="95">
      <c r="A3" s="2">
        <v>2</v>
      </c>
      <c r="B3" s="2" t="s">
        <v>25</v>
      </c>
      <c r="C3" s="3" t="s">
        <v>26</v>
      </c>
      <c r="D3" s="4" t="s">
        <v>231</v>
      </c>
    </row>
    <row r="4" spans="1:4" ht="95">
      <c r="A4" s="2">
        <v>3</v>
      </c>
      <c r="B4" s="2" t="s">
        <v>53</v>
      </c>
      <c r="C4" s="3" t="s">
        <v>54</v>
      </c>
      <c r="D4" s="4" t="s">
        <v>229</v>
      </c>
    </row>
    <row r="5" spans="1:4" ht="95">
      <c r="A5" s="2">
        <v>4</v>
      </c>
      <c r="B5" s="2" t="s">
        <v>82</v>
      </c>
      <c r="C5" s="3" t="s">
        <v>54</v>
      </c>
      <c r="D5" s="4" t="s">
        <v>55</v>
      </c>
    </row>
    <row r="6" spans="1:4" ht="76">
      <c r="A6" s="2">
        <v>5</v>
      </c>
      <c r="B6" s="2" t="s">
        <v>90</v>
      </c>
      <c r="C6" s="3" t="s">
        <v>54</v>
      </c>
      <c r="D6" s="4" t="s">
        <v>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72AE5-025A-0040-9AD6-7BA7C7D21BB4}">
  <dimension ref="A1:Q67"/>
  <sheetViews>
    <sheetView tabSelected="1" topLeftCell="H1" workbookViewId="0">
      <selection activeCell="S1" sqref="S1:Z1048576"/>
    </sheetView>
  </sheetViews>
  <sheetFormatPr baseColWidth="10" defaultRowHeight="16"/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18</v>
      </c>
    </row>
    <row r="2" spans="1:17">
      <c r="A2" t="s">
        <v>19</v>
      </c>
      <c r="B2">
        <v>42.918450947499998</v>
      </c>
      <c r="C2" s="5" t="s">
        <v>92</v>
      </c>
      <c r="D2">
        <v>42.050275999999997</v>
      </c>
      <c r="E2">
        <v>43.113413170000001</v>
      </c>
      <c r="F2">
        <v>42.88687573</v>
      </c>
      <c r="G2">
        <v>43.623238890000003</v>
      </c>
      <c r="H2">
        <v>50</v>
      </c>
      <c r="I2">
        <v>100</v>
      </c>
      <c r="J2">
        <v>19</v>
      </c>
      <c r="K2">
        <v>11</v>
      </c>
      <c r="L2">
        <v>70</v>
      </c>
      <c r="M2">
        <v>6.5313999999999997</v>
      </c>
      <c r="N2">
        <v>1.43</v>
      </c>
      <c r="O2">
        <v>0.14538799999999999</v>
      </c>
      <c r="P2">
        <v>9.6360000000000005E-3</v>
      </c>
      <c r="Q2">
        <v>8.1164240000000003</v>
      </c>
    </row>
    <row r="3" spans="1:17">
      <c r="A3" t="s">
        <v>19</v>
      </c>
      <c r="B3" s="5" t="s">
        <v>93</v>
      </c>
      <c r="C3">
        <v>0.24782085045246899</v>
      </c>
      <c r="D3">
        <v>53.716140230000001</v>
      </c>
      <c r="E3">
        <v>53.684533870000003</v>
      </c>
      <c r="F3">
        <v>53.818904979999999</v>
      </c>
      <c r="G3">
        <v>54.300560419999996</v>
      </c>
      <c r="H3">
        <v>22</v>
      </c>
      <c r="I3">
        <v>46</v>
      </c>
      <c r="J3">
        <v>53</v>
      </c>
      <c r="K3">
        <v>68</v>
      </c>
      <c r="L3">
        <v>61</v>
      </c>
      <c r="M3" s="5" t="s">
        <v>94</v>
      </c>
      <c r="N3">
        <v>0.65780000000000005</v>
      </c>
      <c r="O3" s="5" t="s">
        <v>95</v>
      </c>
      <c r="P3">
        <v>5.9568000000000003E-2</v>
      </c>
      <c r="Q3" s="5" t="s">
        <v>96</v>
      </c>
    </row>
    <row r="4" spans="1:17">
      <c r="A4" t="s">
        <v>19</v>
      </c>
      <c r="B4">
        <v>39.517174095000001</v>
      </c>
      <c r="C4" s="5" t="s">
        <v>97</v>
      </c>
      <c r="D4">
        <v>39.16172675</v>
      </c>
      <c r="E4">
        <v>39.754316330000002</v>
      </c>
      <c r="F4">
        <v>39.524587279999999</v>
      </c>
      <c r="G4">
        <v>39.628066019999999</v>
      </c>
      <c r="H4">
        <v>7</v>
      </c>
      <c r="I4">
        <v>24</v>
      </c>
      <c r="J4">
        <v>89</v>
      </c>
      <c r="K4">
        <v>10</v>
      </c>
      <c r="L4">
        <v>120</v>
      </c>
      <c r="M4">
        <v>0.91439599999999999</v>
      </c>
      <c r="N4">
        <v>0.34320000000000001</v>
      </c>
      <c r="O4">
        <v>0.68102799999999997</v>
      </c>
      <c r="P4">
        <v>8.7600000000000004E-3</v>
      </c>
      <c r="Q4">
        <v>1.947384</v>
      </c>
    </row>
    <row r="5" spans="1:17">
      <c r="A5" t="s">
        <v>19</v>
      </c>
      <c r="B5">
        <v>74.083560152499999</v>
      </c>
      <c r="C5" s="5" t="s">
        <v>98</v>
      </c>
      <c r="D5">
        <v>73.497387380000006</v>
      </c>
      <c r="E5">
        <v>74.432022649999993</v>
      </c>
      <c r="F5">
        <v>73.972806910000003</v>
      </c>
      <c r="G5">
        <v>74.432023670000007</v>
      </c>
      <c r="H5">
        <v>49</v>
      </c>
      <c r="I5">
        <v>11</v>
      </c>
      <c r="J5">
        <v>26</v>
      </c>
      <c r="K5">
        <v>35</v>
      </c>
      <c r="L5">
        <v>129</v>
      </c>
      <c r="M5">
        <v>6.4007719999999999</v>
      </c>
      <c r="N5">
        <v>0.1573</v>
      </c>
      <c r="O5">
        <v>0.19895199999999999</v>
      </c>
      <c r="P5">
        <v>3.066E-2</v>
      </c>
      <c r="Q5" s="5" t="s">
        <v>99</v>
      </c>
    </row>
    <row r="6" spans="1:17">
      <c r="A6" t="s">
        <v>19</v>
      </c>
      <c r="B6">
        <v>52.898363297499998</v>
      </c>
      <c r="C6" s="5" t="s">
        <v>100</v>
      </c>
      <c r="D6">
        <v>52.881947140000001</v>
      </c>
      <c r="E6">
        <v>53.050378270000003</v>
      </c>
      <c r="F6">
        <v>52.718845180000002</v>
      </c>
      <c r="G6">
        <v>52.942282599999999</v>
      </c>
      <c r="H6">
        <v>11</v>
      </c>
      <c r="I6">
        <v>51</v>
      </c>
      <c r="J6">
        <v>35</v>
      </c>
      <c r="K6">
        <v>62</v>
      </c>
      <c r="L6">
        <v>91</v>
      </c>
      <c r="M6" s="5" t="s">
        <v>101</v>
      </c>
      <c r="N6" s="5" t="s">
        <v>102</v>
      </c>
      <c r="O6">
        <v>0.26782</v>
      </c>
      <c r="P6">
        <v>5.4311999999999999E-2</v>
      </c>
      <c r="Q6">
        <v>2.48834</v>
      </c>
    </row>
    <row r="7" spans="1:17">
      <c r="A7" t="s">
        <v>20</v>
      </c>
      <c r="B7">
        <v>39.953147244999997</v>
      </c>
      <c r="C7" s="5" t="s">
        <v>103</v>
      </c>
      <c r="D7">
        <v>38.174922680000002</v>
      </c>
      <c r="E7">
        <v>39.89347704</v>
      </c>
      <c r="F7">
        <v>40.693828779999997</v>
      </c>
      <c r="G7">
        <v>41.050360480000002</v>
      </c>
      <c r="H7">
        <v>117</v>
      </c>
      <c r="I7">
        <v>27</v>
      </c>
      <c r="J7">
        <v>5</v>
      </c>
      <c r="K7">
        <v>11</v>
      </c>
      <c r="L7">
        <v>90</v>
      </c>
      <c r="M7" s="5" t="s">
        <v>104</v>
      </c>
      <c r="N7">
        <v>0.3861</v>
      </c>
      <c r="O7">
        <v>3.8260000000000002E-2</v>
      </c>
      <c r="P7">
        <v>9.6360000000000005E-3</v>
      </c>
      <c r="Q7" s="5" t="s">
        <v>105</v>
      </c>
    </row>
    <row r="8" spans="1:17">
      <c r="A8" t="s">
        <v>20</v>
      </c>
      <c r="B8">
        <v>57.21813925</v>
      </c>
      <c r="C8" s="5" t="s">
        <v>106</v>
      </c>
      <c r="D8">
        <v>56.76311862</v>
      </c>
      <c r="E8">
        <v>57.526304519999997</v>
      </c>
      <c r="F8">
        <v>57.080760660000003</v>
      </c>
      <c r="G8">
        <v>57.502373200000001</v>
      </c>
      <c r="H8">
        <v>14</v>
      </c>
      <c r="I8">
        <v>66</v>
      </c>
      <c r="J8">
        <v>22</v>
      </c>
      <c r="K8">
        <v>27</v>
      </c>
      <c r="L8">
        <v>121</v>
      </c>
      <c r="M8">
        <v>1.828792</v>
      </c>
      <c r="N8">
        <v>0.94379999999999997</v>
      </c>
      <c r="O8">
        <v>0.16834399999999999</v>
      </c>
      <c r="P8">
        <v>2.3651999999999999E-2</v>
      </c>
      <c r="Q8" s="5" t="s">
        <v>107</v>
      </c>
    </row>
    <row r="9" spans="1:17">
      <c r="A9" t="s">
        <v>20</v>
      </c>
      <c r="B9" s="5" t="s">
        <v>108</v>
      </c>
      <c r="C9" s="5" t="s">
        <v>109</v>
      </c>
      <c r="D9">
        <v>60.740653760000001</v>
      </c>
      <c r="E9">
        <v>61.269270939999998</v>
      </c>
      <c r="F9">
        <v>60.648081249999997</v>
      </c>
      <c r="G9">
        <v>60.00061573</v>
      </c>
      <c r="H9">
        <v>28</v>
      </c>
      <c r="I9">
        <v>70</v>
      </c>
      <c r="J9">
        <v>13</v>
      </c>
      <c r="K9">
        <v>12</v>
      </c>
      <c r="L9">
        <v>127</v>
      </c>
      <c r="M9">
        <v>3.6575839999999999</v>
      </c>
      <c r="N9" s="5" t="s">
        <v>110</v>
      </c>
      <c r="O9">
        <v>9.9475999999999995E-2</v>
      </c>
      <c r="P9">
        <v>1.0512000000000001E-2</v>
      </c>
      <c r="Q9" s="5" t="s">
        <v>111</v>
      </c>
    </row>
    <row r="10" spans="1:17">
      <c r="A10" t="s">
        <v>20</v>
      </c>
      <c r="B10" s="5" t="s">
        <v>112</v>
      </c>
      <c r="C10">
        <v>0.526246489632614</v>
      </c>
      <c r="D10">
        <v>67.547296149999994</v>
      </c>
      <c r="E10">
        <v>68.415021949999996</v>
      </c>
      <c r="F10">
        <v>68.309107229999995</v>
      </c>
      <c r="G10">
        <v>69.028250799999995</v>
      </c>
      <c r="H10">
        <v>69</v>
      </c>
      <c r="I10">
        <v>5</v>
      </c>
      <c r="J10">
        <v>13</v>
      </c>
      <c r="K10">
        <v>86</v>
      </c>
      <c r="L10">
        <v>77</v>
      </c>
      <c r="M10">
        <v>9.0133320000000001</v>
      </c>
      <c r="N10">
        <v>7.1499999999999994E-2</v>
      </c>
      <c r="O10">
        <v>9.9475999999999995E-2</v>
      </c>
      <c r="P10">
        <v>7.5336E-2</v>
      </c>
      <c r="Q10">
        <v>9.2596439999999998</v>
      </c>
    </row>
    <row r="11" spans="1:17">
      <c r="A11" t="s">
        <v>20</v>
      </c>
      <c r="B11">
        <v>48.656278100000002</v>
      </c>
      <c r="C11" s="5" t="s">
        <v>113</v>
      </c>
      <c r="D11">
        <v>49.002003170000002</v>
      </c>
      <c r="E11">
        <v>48.707887839999998</v>
      </c>
      <c r="F11">
        <v>47.575885360000001</v>
      </c>
      <c r="G11">
        <v>49.339336029999998</v>
      </c>
      <c r="H11">
        <v>16</v>
      </c>
      <c r="I11">
        <v>100</v>
      </c>
      <c r="J11">
        <v>22</v>
      </c>
      <c r="K11">
        <v>7</v>
      </c>
      <c r="L11">
        <v>105</v>
      </c>
      <c r="M11">
        <v>2.0900479999999999</v>
      </c>
      <c r="N11">
        <v>1.43</v>
      </c>
      <c r="O11">
        <v>0.16834399999999999</v>
      </c>
      <c r="P11">
        <v>6.1320000000000003E-3</v>
      </c>
      <c r="Q11">
        <v>3.6945239999999999</v>
      </c>
    </row>
    <row r="12" spans="1:17">
      <c r="A12" t="s">
        <v>19</v>
      </c>
      <c r="B12">
        <v>0</v>
      </c>
      <c r="C12">
        <v>0</v>
      </c>
      <c r="D12">
        <v>12.321851000000001</v>
      </c>
      <c r="E12">
        <v>58.147792629999998</v>
      </c>
      <c r="F12">
        <v>18.416504849999999</v>
      </c>
      <c r="G12">
        <v>13.95504349</v>
      </c>
      <c r="H12">
        <v>94</v>
      </c>
      <c r="I12">
        <v>14</v>
      </c>
      <c r="J12">
        <v>14</v>
      </c>
      <c r="K12">
        <v>26</v>
      </c>
      <c r="L12">
        <v>102</v>
      </c>
      <c r="M12" s="5" t="s">
        <v>114</v>
      </c>
      <c r="N12">
        <v>0.20019999999999999</v>
      </c>
      <c r="O12">
        <v>0.107128</v>
      </c>
      <c r="P12">
        <v>2.2776000000000001E-2</v>
      </c>
      <c r="Q12">
        <v>12.609135999999999</v>
      </c>
    </row>
    <row r="13" spans="1:17">
      <c r="A13" t="s">
        <v>19</v>
      </c>
      <c r="B13">
        <v>52.933969677500002</v>
      </c>
      <c r="C13" s="5" t="s">
        <v>115</v>
      </c>
      <c r="D13">
        <v>52.706491149999998</v>
      </c>
      <c r="E13">
        <v>53.713127100000001</v>
      </c>
      <c r="F13">
        <v>52.776708210000002</v>
      </c>
      <c r="G13">
        <v>52.53955225</v>
      </c>
      <c r="H13">
        <v>39</v>
      </c>
      <c r="I13">
        <v>14</v>
      </c>
      <c r="J13">
        <v>75</v>
      </c>
      <c r="K13">
        <v>35</v>
      </c>
      <c r="L13">
        <v>87</v>
      </c>
      <c r="M13">
        <v>5.0944919999999998</v>
      </c>
      <c r="N13">
        <v>0.20019999999999999</v>
      </c>
      <c r="O13">
        <v>0.57389999999999997</v>
      </c>
      <c r="P13">
        <v>3.066E-2</v>
      </c>
      <c r="Q13">
        <v>5.8992519999999997</v>
      </c>
    </row>
    <row r="14" spans="1:17">
      <c r="A14" t="s">
        <v>19</v>
      </c>
      <c r="B14">
        <v>39.682550677499997</v>
      </c>
      <c r="C14" s="5" t="s">
        <v>116</v>
      </c>
      <c r="D14">
        <v>38.268316319999997</v>
      </c>
      <c r="E14">
        <v>39.082514809999999</v>
      </c>
      <c r="F14">
        <v>39.338193150000002</v>
      </c>
      <c r="G14">
        <v>42.041178430000002</v>
      </c>
      <c r="H14">
        <v>19</v>
      </c>
      <c r="I14">
        <v>108</v>
      </c>
      <c r="J14">
        <v>30</v>
      </c>
      <c r="K14">
        <v>54</v>
      </c>
      <c r="L14">
        <v>39</v>
      </c>
      <c r="M14">
        <v>2.481932</v>
      </c>
      <c r="N14">
        <v>1.5444</v>
      </c>
      <c r="O14">
        <v>0.22955999999999999</v>
      </c>
      <c r="P14">
        <v>4.7303999999999999E-2</v>
      </c>
      <c r="Q14">
        <v>4.3031959999999998</v>
      </c>
    </row>
    <row r="15" spans="1:17">
      <c r="A15" t="s">
        <v>19</v>
      </c>
      <c r="B15">
        <v>0</v>
      </c>
      <c r="C15">
        <v>0</v>
      </c>
      <c r="D15">
        <v>7.332441158</v>
      </c>
      <c r="E15">
        <v>13.621691480000001</v>
      </c>
      <c r="F15">
        <v>15.45617899</v>
      </c>
      <c r="G15">
        <v>9.2875439130000004</v>
      </c>
      <c r="H15">
        <v>154</v>
      </c>
      <c r="I15">
        <v>40</v>
      </c>
      <c r="J15">
        <v>8</v>
      </c>
      <c r="K15">
        <v>43</v>
      </c>
      <c r="L15">
        <v>5</v>
      </c>
      <c r="M15">
        <v>20.116712</v>
      </c>
      <c r="N15" s="5" t="s">
        <v>117</v>
      </c>
      <c r="O15">
        <v>6.1216E-2</v>
      </c>
      <c r="P15">
        <v>3.7668E-2</v>
      </c>
      <c r="Q15">
        <v>20.787596000000001</v>
      </c>
    </row>
    <row r="16" spans="1:17">
      <c r="A16" t="s">
        <v>19</v>
      </c>
      <c r="B16">
        <v>54.45862511</v>
      </c>
      <c r="C16" s="5" t="s">
        <v>118</v>
      </c>
      <c r="D16">
        <v>52.004763179999998</v>
      </c>
      <c r="E16">
        <v>59.071080619999996</v>
      </c>
      <c r="F16">
        <v>52.750709860000001</v>
      </c>
      <c r="G16">
        <v>54.007946779999997</v>
      </c>
      <c r="H16">
        <v>70</v>
      </c>
      <c r="I16">
        <v>32</v>
      </c>
      <c r="J16">
        <v>22</v>
      </c>
      <c r="K16">
        <v>67</v>
      </c>
      <c r="L16">
        <v>59</v>
      </c>
      <c r="M16">
        <v>9.1439599999999999</v>
      </c>
      <c r="N16">
        <v>0.45760000000000001</v>
      </c>
      <c r="O16">
        <v>0.16834399999999999</v>
      </c>
      <c r="P16">
        <v>5.8692000000000001E-2</v>
      </c>
      <c r="Q16">
        <v>9.8285959999999992</v>
      </c>
    </row>
    <row r="17" spans="1:17">
      <c r="A17" t="s">
        <v>20</v>
      </c>
      <c r="B17">
        <v>45.916521227499999</v>
      </c>
      <c r="C17" s="5" t="s">
        <v>119</v>
      </c>
      <c r="D17">
        <v>46.545090799999997</v>
      </c>
      <c r="E17">
        <v>45.852924889999997</v>
      </c>
      <c r="F17">
        <v>45.367431310000001</v>
      </c>
      <c r="G17">
        <v>45.90063791</v>
      </c>
      <c r="H17">
        <v>10</v>
      </c>
      <c r="I17">
        <v>20</v>
      </c>
      <c r="J17">
        <v>21</v>
      </c>
      <c r="K17">
        <v>69</v>
      </c>
      <c r="L17">
        <v>130</v>
      </c>
      <c r="M17" s="5" t="s">
        <v>120</v>
      </c>
      <c r="N17" s="5" t="s">
        <v>121</v>
      </c>
      <c r="O17">
        <v>0.160692</v>
      </c>
      <c r="P17" s="5" t="s">
        <v>122</v>
      </c>
      <c r="Q17">
        <v>1.8134159999999999</v>
      </c>
    </row>
    <row r="18" spans="1:17">
      <c r="A18" t="s">
        <v>20</v>
      </c>
      <c r="B18" s="5" t="s">
        <v>123</v>
      </c>
      <c r="C18" s="5" t="s">
        <v>124</v>
      </c>
      <c r="D18">
        <v>38.504118099999999</v>
      </c>
      <c r="E18">
        <v>12.514670450000001</v>
      </c>
      <c r="F18">
        <v>32.761031879999997</v>
      </c>
      <c r="G18">
        <v>38.897102500000003</v>
      </c>
      <c r="H18">
        <v>30</v>
      </c>
      <c r="I18">
        <v>89</v>
      </c>
      <c r="J18">
        <v>40</v>
      </c>
      <c r="K18">
        <v>76</v>
      </c>
      <c r="L18">
        <v>15</v>
      </c>
      <c r="M18">
        <v>3.9188399999999999</v>
      </c>
      <c r="N18">
        <v>1.2726999999999999</v>
      </c>
      <c r="O18">
        <v>0.30608000000000002</v>
      </c>
      <c r="P18">
        <v>6.6575999999999996E-2</v>
      </c>
      <c r="Q18">
        <v>5.5641959999999999</v>
      </c>
    </row>
    <row r="19" spans="1:17">
      <c r="A19" t="s">
        <v>20</v>
      </c>
      <c r="B19">
        <v>39.98774126</v>
      </c>
      <c r="C19" s="5" t="s">
        <v>125</v>
      </c>
      <c r="D19">
        <v>44.528613980000003</v>
      </c>
      <c r="E19">
        <v>38.520528929999998</v>
      </c>
      <c r="F19">
        <v>38.626973040000003</v>
      </c>
      <c r="G19">
        <v>38.274849089999996</v>
      </c>
      <c r="H19">
        <v>30</v>
      </c>
      <c r="I19">
        <v>84</v>
      </c>
      <c r="J19">
        <v>43</v>
      </c>
      <c r="K19">
        <v>76</v>
      </c>
      <c r="L19">
        <v>17</v>
      </c>
      <c r="M19">
        <v>3.9188399999999999</v>
      </c>
      <c r="N19">
        <v>1.2012</v>
      </c>
      <c r="O19">
        <v>0.329036</v>
      </c>
      <c r="P19">
        <v>6.6575999999999996E-2</v>
      </c>
      <c r="Q19">
        <v>5.5156520000000002</v>
      </c>
    </row>
    <row r="20" spans="1:17">
      <c r="A20" t="s">
        <v>20</v>
      </c>
      <c r="B20">
        <v>38.087868784999998</v>
      </c>
      <c r="C20" s="5" t="s">
        <v>126</v>
      </c>
      <c r="D20">
        <v>37.051213250000004</v>
      </c>
      <c r="E20">
        <v>38.406894319999999</v>
      </c>
      <c r="F20">
        <v>38.326999890000003</v>
      </c>
      <c r="G20">
        <v>38.566367679999999</v>
      </c>
      <c r="H20">
        <v>25</v>
      </c>
      <c r="I20">
        <v>108</v>
      </c>
      <c r="J20">
        <v>29</v>
      </c>
      <c r="K20">
        <v>73</v>
      </c>
      <c r="L20">
        <v>15</v>
      </c>
      <c r="M20">
        <v>3.2656999999999998</v>
      </c>
      <c r="N20">
        <v>1.5444</v>
      </c>
      <c r="O20">
        <v>0.22190799999999999</v>
      </c>
      <c r="P20">
        <v>6.3948000000000005E-2</v>
      </c>
      <c r="Q20">
        <v>5.0959560000000002</v>
      </c>
    </row>
    <row r="21" spans="1:17">
      <c r="A21" t="s">
        <v>20</v>
      </c>
      <c r="B21" s="5" t="s">
        <v>127</v>
      </c>
      <c r="C21" s="5" t="s">
        <v>128</v>
      </c>
      <c r="D21">
        <v>44.894928849999999</v>
      </c>
      <c r="E21">
        <v>44.590361639999998</v>
      </c>
      <c r="F21">
        <v>44.458700010000001</v>
      </c>
      <c r="G21">
        <v>44.413034189999998</v>
      </c>
      <c r="H21">
        <v>32</v>
      </c>
      <c r="I21">
        <v>62</v>
      </c>
      <c r="J21">
        <v>47</v>
      </c>
      <c r="K21">
        <v>63</v>
      </c>
      <c r="L21">
        <v>46</v>
      </c>
      <c r="M21">
        <v>4.1800959999999998</v>
      </c>
      <c r="N21">
        <v>0.88660000000000005</v>
      </c>
      <c r="O21">
        <v>0.35964400000000002</v>
      </c>
      <c r="P21">
        <v>5.5188000000000001E-2</v>
      </c>
      <c r="Q21" s="5" t="s">
        <v>129</v>
      </c>
    </row>
    <row r="22" spans="1:17">
      <c r="A22" t="s">
        <v>20</v>
      </c>
      <c r="B22">
        <v>59.166765507500003</v>
      </c>
      <c r="C22" s="5" t="s">
        <v>130</v>
      </c>
      <c r="D22">
        <v>57.888635649999998</v>
      </c>
      <c r="E22">
        <v>60.21654676</v>
      </c>
      <c r="F22">
        <v>56.666432610000001</v>
      </c>
      <c r="G22">
        <v>61.895447009999998</v>
      </c>
      <c r="H22">
        <v>74</v>
      </c>
      <c r="I22">
        <v>39</v>
      </c>
      <c r="J22">
        <v>9</v>
      </c>
      <c r="K22">
        <v>39</v>
      </c>
      <c r="L22">
        <v>89</v>
      </c>
      <c r="M22" s="5" t="s">
        <v>131</v>
      </c>
      <c r="N22">
        <v>0.55769999999999997</v>
      </c>
      <c r="O22">
        <v>6.8867999999999999E-2</v>
      </c>
      <c r="P22">
        <v>3.4164E-2</v>
      </c>
      <c r="Q22">
        <v>10.327204</v>
      </c>
    </row>
    <row r="23" spans="1:17">
      <c r="A23" t="s">
        <v>20</v>
      </c>
      <c r="B23">
        <v>30.025825112500002</v>
      </c>
      <c r="C23" s="5" t="s">
        <v>132</v>
      </c>
      <c r="D23">
        <v>30.91275641</v>
      </c>
      <c r="E23">
        <v>29.901355219999999</v>
      </c>
      <c r="F23">
        <v>29.099481260000001</v>
      </c>
      <c r="G23">
        <v>30.189707559999999</v>
      </c>
      <c r="H23">
        <v>6</v>
      </c>
      <c r="I23">
        <v>25</v>
      </c>
      <c r="J23">
        <v>75</v>
      </c>
      <c r="K23">
        <v>59</v>
      </c>
      <c r="L23">
        <v>85</v>
      </c>
      <c r="M23">
        <v>0.78376800000000002</v>
      </c>
      <c r="N23">
        <v>0.35749999999999998</v>
      </c>
      <c r="O23">
        <v>0.57389999999999997</v>
      </c>
      <c r="P23">
        <v>5.1684000000000001E-2</v>
      </c>
      <c r="Q23" s="5" t="s">
        <v>133</v>
      </c>
    </row>
    <row r="24" spans="1:17">
      <c r="A24" t="s">
        <v>20</v>
      </c>
      <c r="B24">
        <v>31.900952522499999</v>
      </c>
      <c r="C24">
        <v>7.9671667604579E-2</v>
      </c>
      <c r="D24">
        <v>31.777139900000002</v>
      </c>
      <c r="E24">
        <v>31.905674990000001</v>
      </c>
      <c r="F24">
        <v>31.998885090000002</v>
      </c>
      <c r="G24">
        <v>31.922110109999998</v>
      </c>
      <c r="H24">
        <v>31</v>
      </c>
      <c r="I24">
        <v>15</v>
      </c>
      <c r="J24">
        <v>173</v>
      </c>
      <c r="K24">
        <v>20</v>
      </c>
      <c r="L24">
        <v>11</v>
      </c>
      <c r="M24">
        <v>4.0494680000000001</v>
      </c>
      <c r="N24">
        <v>0.2145</v>
      </c>
      <c r="O24">
        <v>1.323796</v>
      </c>
      <c r="P24">
        <v>1.7520000000000001E-2</v>
      </c>
      <c r="Q24">
        <v>5.6052840000000002</v>
      </c>
    </row>
    <row r="25" spans="1:17">
      <c r="A25" t="s">
        <v>19</v>
      </c>
      <c r="B25">
        <v>44.418483864999999</v>
      </c>
      <c r="C25" s="5" t="s">
        <v>134</v>
      </c>
      <c r="D25">
        <v>43.953496659999999</v>
      </c>
      <c r="E25">
        <v>44.509072619999998</v>
      </c>
      <c r="F25">
        <v>44.218905040000003</v>
      </c>
      <c r="G25">
        <v>44.992461140000003</v>
      </c>
      <c r="H25">
        <v>14</v>
      </c>
      <c r="I25">
        <v>57</v>
      </c>
      <c r="J25">
        <v>60</v>
      </c>
      <c r="K25">
        <v>86</v>
      </c>
      <c r="L25">
        <v>33</v>
      </c>
      <c r="M25">
        <v>1.828792</v>
      </c>
      <c r="N25">
        <v>0.81510000000000005</v>
      </c>
      <c r="O25">
        <v>0.45911999999999997</v>
      </c>
      <c r="P25">
        <v>7.5336E-2</v>
      </c>
      <c r="Q25">
        <v>3.1783480000000002</v>
      </c>
    </row>
    <row r="26" spans="1:17">
      <c r="A26" t="s">
        <v>19</v>
      </c>
      <c r="B26">
        <v>51.919963320000001</v>
      </c>
      <c r="C26" s="5" t="s">
        <v>135</v>
      </c>
      <c r="D26">
        <v>51.646000600000001</v>
      </c>
      <c r="E26">
        <v>51.259404959999998</v>
      </c>
      <c r="F26">
        <v>52.224031240000002</v>
      </c>
      <c r="G26">
        <v>52.550416480000003</v>
      </c>
      <c r="H26">
        <v>48</v>
      </c>
      <c r="I26">
        <v>16</v>
      </c>
      <c r="J26">
        <v>70</v>
      </c>
      <c r="K26">
        <v>43</v>
      </c>
      <c r="L26">
        <v>73</v>
      </c>
      <c r="M26">
        <v>6.2701440000000002</v>
      </c>
      <c r="N26">
        <v>0.2288</v>
      </c>
      <c r="O26">
        <v>0.53564000000000001</v>
      </c>
      <c r="P26">
        <v>3.7668E-2</v>
      </c>
      <c r="Q26">
        <v>7.0722519999999998</v>
      </c>
    </row>
    <row r="27" spans="1:17">
      <c r="A27" t="s">
        <v>19</v>
      </c>
      <c r="B27">
        <v>50.467251564999998</v>
      </c>
      <c r="C27" s="5" t="s">
        <v>136</v>
      </c>
      <c r="D27">
        <v>49.303560660000002</v>
      </c>
      <c r="E27">
        <v>50.596046459999997</v>
      </c>
      <c r="F27">
        <v>51.088994390000003</v>
      </c>
      <c r="G27">
        <v>50.880404749999997</v>
      </c>
      <c r="H27">
        <v>41</v>
      </c>
      <c r="I27">
        <v>80</v>
      </c>
      <c r="J27">
        <v>11</v>
      </c>
      <c r="K27">
        <v>18</v>
      </c>
      <c r="L27">
        <v>100</v>
      </c>
      <c r="M27">
        <v>5.3557480000000002</v>
      </c>
      <c r="N27" s="5" t="s">
        <v>137</v>
      </c>
      <c r="O27">
        <v>8.4171999999999997E-2</v>
      </c>
      <c r="P27">
        <v>1.5768000000000001E-2</v>
      </c>
      <c r="Q27" s="5" t="s">
        <v>138</v>
      </c>
    </row>
    <row r="28" spans="1:17">
      <c r="A28" t="s">
        <v>19</v>
      </c>
      <c r="B28">
        <v>47.054673972499998</v>
      </c>
      <c r="C28" s="5" t="s">
        <v>139</v>
      </c>
      <c r="D28">
        <v>46.224606780000002</v>
      </c>
      <c r="E28">
        <v>47.355374070000003</v>
      </c>
      <c r="F28">
        <v>47.143615519999997</v>
      </c>
      <c r="G28">
        <v>47.495099519999997</v>
      </c>
      <c r="H28">
        <v>59</v>
      </c>
      <c r="I28">
        <v>9</v>
      </c>
      <c r="J28">
        <v>71</v>
      </c>
      <c r="K28">
        <v>104</v>
      </c>
      <c r="L28">
        <v>7</v>
      </c>
      <c r="M28">
        <v>7.707052</v>
      </c>
      <c r="N28">
        <v>0.12870000000000001</v>
      </c>
      <c r="O28">
        <v>0.543292</v>
      </c>
      <c r="P28">
        <v>9.1104000000000004E-2</v>
      </c>
      <c r="Q28">
        <v>8.470148</v>
      </c>
    </row>
    <row r="29" spans="1:17">
      <c r="A29" t="s">
        <v>19</v>
      </c>
      <c r="B29" s="5" t="s">
        <v>140</v>
      </c>
      <c r="C29" s="5" t="s">
        <v>141</v>
      </c>
      <c r="D29">
        <v>28.79088243</v>
      </c>
      <c r="E29">
        <v>30.814057030000001</v>
      </c>
      <c r="F29">
        <v>31.17737949</v>
      </c>
      <c r="G29">
        <v>30.490281400000001</v>
      </c>
      <c r="H29">
        <v>64</v>
      </c>
      <c r="I29">
        <v>31</v>
      </c>
      <c r="J29">
        <v>128</v>
      </c>
      <c r="K29">
        <v>7</v>
      </c>
      <c r="L29">
        <v>20</v>
      </c>
      <c r="M29">
        <v>8.3601919999999996</v>
      </c>
      <c r="N29">
        <v>0.44330000000000003</v>
      </c>
      <c r="O29">
        <v>0.97945599999999999</v>
      </c>
      <c r="P29">
        <v>6.1320000000000003E-3</v>
      </c>
      <c r="Q29">
        <v>9.7890800000000002</v>
      </c>
    </row>
    <row r="30" spans="1:17">
      <c r="A30" t="s">
        <v>20</v>
      </c>
      <c r="B30">
        <v>64.1891300825</v>
      </c>
      <c r="C30" s="5" t="s">
        <v>142</v>
      </c>
      <c r="D30">
        <v>64.044459579999995</v>
      </c>
      <c r="E30">
        <v>64.306043130000006</v>
      </c>
      <c r="F30">
        <v>64.036048710000003</v>
      </c>
      <c r="G30">
        <v>64.369968909999997</v>
      </c>
      <c r="H30">
        <v>31</v>
      </c>
      <c r="I30">
        <v>12</v>
      </c>
      <c r="J30">
        <v>24</v>
      </c>
      <c r="K30">
        <v>82</v>
      </c>
      <c r="L30">
        <v>101</v>
      </c>
      <c r="M30">
        <v>4.0494680000000001</v>
      </c>
      <c r="N30">
        <v>0.1716</v>
      </c>
      <c r="O30">
        <v>0.18364800000000001</v>
      </c>
      <c r="P30">
        <v>7.1831999999999993E-2</v>
      </c>
      <c r="Q30" s="5" t="s">
        <v>143</v>
      </c>
    </row>
    <row r="31" spans="1:17">
      <c r="A31" t="s">
        <v>20</v>
      </c>
      <c r="B31">
        <v>36.5237768</v>
      </c>
      <c r="C31" s="5" t="s">
        <v>144</v>
      </c>
      <c r="D31">
        <v>35.710041259999997</v>
      </c>
      <c r="E31">
        <v>36.165639859999999</v>
      </c>
      <c r="F31">
        <v>36.468531489999997</v>
      </c>
      <c r="G31">
        <v>37.750894590000001</v>
      </c>
      <c r="H31">
        <v>15</v>
      </c>
      <c r="I31">
        <v>103</v>
      </c>
      <c r="J31">
        <v>59</v>
      </c>
      <c r="K31">
        <v>8</v>
      </c>
      <c r="L31">
        <v>65</v>
      </c>
      <c r="M31">
        <v>1.9594199999999999</v>
      </c>
      <c r="N31">
        <v>1.4729000000000001</v>
      </c>
      <c r="O31">
        <v>0.45146799999999998</v>
      </c>
      <c r="P31">
        <v>7.0080000000000003E-3</v>
      </c>
      <c r="Q31">
        <v>3.8907959999999999</v>
      </c>
    </row>
    <row r="32" spans="1:17">
      <c r="A32" t="s">
        <v>20</v>
      </c>
      <c r="B32">
        <v>54.608795227500003</v>
      </c>
      <c r="C32" s="5" t="s">
        <v>145</v>
      </c>
      <c r="D32">
        <v>55.335758200000001</v>
      </c>
      <c r="E32">
        <v>54.960154799999998</v>
      </c>
      <c r="F32">
        <v>53.976783240000003</v>
      </c>
      <c r="G32">
        <v>54.162484669999998</v>
      </c>
      <c r="H32">
        <v>16</v>
      </c>
      <c r="I32">
        <v>75</v>
      </c>
      <c r="J32">
        <v>5</v>
      </c>
      <c r="K32">
        <v>31</v>
      </c>
      <c r="L32">
        <v>123</v>
      </c>
      <c r="M32">
        <v>2.0900479999999999</v>
      </c>
      <c r="N32">
        <v>1.0725</v>
      </c>
      <c r="O32">
        <v>3.8260000000000002E-2</v>
      </c>
      <c r="P32">
        <v>2.7156E-2</v>
      </c>
      <c r="Q32" s="5" t="s">
        <v>146</v>
      </c>
    </row>
    <row r="33" spans="1:17">
      <c r="A33" t="s">
        <v>20</v>
      </c>
      <c r="B33">
        <v>45.492811212500001</v>
      </c>
      <c r="C33">
        <v>9.1709058627266499E-2</v>
      </c>
      <c r="D33">
        <v>45.629288889999998</v>
      </c>
      <c r="E33">
        <v>45.497574569999998</v>
      </c>
      <c r="F33">
        <v>45.372096560000003</v>
      </c>
      <c r="G33">
        <v>45.47228483</v>
      </c>
      <c r="H33">
        <v>12</v>
      </c>
      <c r="I33">
        <v>6</v>
      </c>
      <c r="J33">
        <v>32</v>
      </c>
      <c r="K33">
        <v>144</v>
      </c>
      <c r="L33">
        <v>56</v>
      </c>
      <c r="M33">
        <v>1.567536</v>
      </c>
      <c r="N33">
        <v>8.5800000000000001E-2</v>
      </c>
      <c r="O33">
        <v>0.244864</v>
      </c>
      <c r="P33">
        <v>0.12614400000000001</v>
      </c>
      <c r="Q33">
        <v>2.0243440000000001</v>
      </c>
    </row>
    <row r="34" spans="1:17">
      <c r="A34" t="s">
        <v>20</v>
      </c>
      <c r="B34">
        <v>0</v>
      </c>
      <c r="C34">
        <v>0</v>
      </c>
      <c r="D34">
        <v>42.383060120000003</v>
      </c>
      <c r="E34">
        <v>10.7932825</v>
      </c>
      <c r="F34">
        <v>43.562359030000003</v>
      </c>
      <c r="G34">
        <v>0</v>
      </c>
      <c r="H34">
        <v>91</v>
      </c>
      <c r="I34">
        <v>59</v>
      </c>
      <c r="J34">
        <v>9</v>
      </c>
      <c r="K34">
        <v>41</v>
      </c>
      <c r="L34">
        <v>50</v>
      </c>
      <c r="M34">
        <v>11.887148</v>
      </c>
      <c r="N34">
        <v>0.84370000000000001</v>
      </c>
      <c r="O34">
        <v>6.8867999999999999E-2</v>
      </c>
      <c r="P34" s="5" t="s">
        <v>147</v>
      </c>
      <c r="Q34">
        <v>12.835632</v>
      </c>
    </row>
    <row r="35" spans="1:17">
      <c r="A35" t="s">
        <v>19</v>
      </c>
      <c r="B35">
        <v>0</v>
      </c>
      <c r="C35">
        <v>0</v>
      </c>
      <c r="D35">
        <v>29.22161616</v>
      </c>
      <c r="E35">
        <v>18.420750510000001</v>
      </c>
      <c r="F35">
        <v>9.138774841</v>
      </c>
      <c r="G35">
        <v>34.434864939999997</v>
      </c>
      <c r="H35">
        <v>71</v>
      </c>
      <c r="I35">
        <v>62</v>
      </c>
      <c r="J35">
        <v>65</v>
      </c>
      <c r="K35">
        <v>34</v>
      </c>
      <c r="L35">
        <v>18</v>
      </c>
      <c r="M35">
        <v>9.2745879999999996</v>
      </c>
      <c r="N35">
        <v>0.88660000000000005</v>
      </c>
      <c r="O35">
        <v>0.49737999999999999</v>
      </c>
      <c r="P35">
        <v>2.9784000000000001E-2</v>
      </c>
      <c r="Q35" s="5" t="s">
        <v>148</v>
      </c>
    </row>
    <row r="36" spans="1:17">
      <c r="A36" t="s">
        <v>19</v>
      </c>
      <c r="B36" s="5" t="s">
        <v>149</v>
      </c>
      <c r="C36" s="5" t="s">
        <v>150</v>
      </c>
      <c r="D36">
        <v>47.829798220000001</v>
      </c>
      <c r="E36">
        <v>47.028924889999999</v>
      </c>
      <c r="F36">
        <v>46.941918430000001</v>
      </c>
      <c r="G36">
        <v>46.382541869999997</v>
      </c>
      <c r="H36">
        <v>12</v>
      </c>
      <c r="I36">
        <v>6</v>
      </c>
      <c r="J36">
        <v>23</v>
      </c>
      <c r="K36">
        <v>138</v>
      </c>
      <c r="L36">
        <v>71</v>
      </c>
      <c r="M36">
        <v>1.567536</v>
      </c>
      <c r="N36">
        <v>8.5800000000000001E-2</v>
      </c>
      <c r="O36" s="5" t="s">
        <v>151</v>
      </c>
      <c r="P36" s="5" t="s">
        <v>152</v>
      </c>
      <c r="Q36" s="5" t="s">
        <v>153</v>
      </c>
    </row>
    <row r="37" spans="1:17">
      <c r="A37" t="s">
        <v>19</v>
      </c>
      <c r="B37" s="5" t="s">
        <v>154</v>
      </c>
      <c r="C37" s="5" t="s">
        <v>155</v>
      </c>
      <c r="D37">
        <v>29.869636610000001</v>
      </c>
      <c r="E37">
        <v>29.46319965</v>
      </c>
      <c r="F37">
        <v>26.554184930000002</v>
      </c>
      <c r="G37">
        <v>0</v>
      </c>
      <c r="H37">
        <v>37</v>
      </c>
      <c r="I37">
        <v>98</v>
      </c>
      <c r="J37">
        <v>75</v>
      </c>
      <c r="K37">
        <v>21</v>
      </c>
      <c r="L37">
        <v>19</v>
      </c>
      <c r="M37" s="5" t="s">
        <v>156</v>
      </c>
      <c r="N37">
        <v>1.4014</v>
      </c>
      <c r="O37">
        <v>0.57389999999999997</v>
      </c>
      <c r="P37" s="5" t="s">
        <v>157</v>
      </c>
      <c r="Q37" s="5" t="s">
        <v>158</v>
      </c>
    </row>
    <row r="38" spans="1:17">
      <c r="A38" t="s">
        <v>19</v>
      </c>
      <c r="B38" s="5" t="s">
        <v>159</v>
      </c>
      <c r="C38" s="5" t="s">
        <v>160</v>
      </c>
      <c r="D38">
        <v>48.302143129999997</v>
      </c>
      <c r="E38">
        <v>43.264912160000002</v>
      </c>
      <c r="F38">
        <v>45.345808069999997</v>
      </c>
      <c r="G38">
        <v>45.899868560000002</v>
      </c>
      <c r="H38">
        <v>56</v>
      </c>
      <c r="I38">
        <v>55</v>
      </c>
      <c r="J38">
        <v>24</v>
      </c>
      <c r="K38">
        <v>65</v>
      </c>
      <c r="L38">
        <v>50</v>
      </c>
      <c r="M38">
        <v>7.3151679999999999</v>
      </c>
      <c r="N38">
        <v>0.78649999999999998</v>
      </c>
      <c r="O38">
        <v>0.18364800000000001</v>
      </c>
      <c r="P38" s="5" t="s">
        <v>161</v>
      </c>
      <c r="Q38">
        <v>8.3422560000000008</v>
      </c>
    </row>
    <row r="39" spans="1:17">
      <c r="A39" t="s">
        <v>19</v>
      </c>
      <c r="B39">
        <v>43.912943492499998</v>
      </c>
      <c r="C39" s="5" t="s">
        <v>162</v>
      </c>
      <c r="D39">
        <v>43.807258959999999</v>
      </c>
      <c r="E39">
        <v>46.041677880000002</v>
      </c>
      <c r="F39">
        <v>42.679486580000003</v>
      </c>
      <c r="G39">
        <v>43.123350549999998</v>
      </c>
      <c r="H39">
        <v>28</v>
      </c>
      <c r="I39">
        <v>57</v>
      </c>
      <c r="J39">
        <v>50</v>
      </c>
      <c r="K39">
        <v>7</v>
      </c>
      <c r="L39">
        <v>108</v>
      </c>
      <c r="M39">
        <v>3.6575839999999999</v>
      </c>
      <c r="N39">
        <v>0.81510000000000005</v>
      </c>
      <c r="O39">
        <v>0.3826</v>
      </c>
      <c r="P39">
        <v>6.1320000000000003E-3</v>
      </c>
      <c r="Q39">
        <v>4.8614160000000002</v>
      </c>
    </row>
    <row r="40" spans="1:17">
      <c r="A40" t="s">
        <v>20</v>
      </c>
      <c r="B40" s="5" t="s">
        <v>163</v>
      </c>
      <c r="C40" s="5" t="s">
        <v>164</v>
      </c>
      <c r="D40">
        <v>34.971083950000001</v>
      </c>
      <c r="E40">
        <v>35.317165359999997</v>
      </c>
      <c r="F40">
        <v>10.32621996</v>
      </c>
      <c r="G40">
        <v>33.300035270000002</v>
      </c>
      <c r="H40">
        <v>52</v>
      </c>
      <c r="I40">
        <v>90</v>
      </c>
      <c r="J40">
        <v>39</v>
      </c>
      <c r="K40">
        <v>63</v>
      </c>
      <c r="L40">
        <v>6</v>
      </c>
      <c r="M40">
        <v>6.792656</v>
      </c>
      <c r="N40">
        <v>1.2869999999999999</v>
      </c>
      <c r="O40" s="5" t="s">
        <v>165</v>
      </c>
      <c r="P40">
        <v>5.5188000000000001E-2</v>
      </c>
      <c r="Q40" s="5" t="s">
        <v>166</v>
      </c>
    </row>
    <row r="41" spans="1:17">
      <c r="A41" t="s">
        <v>20</v>
      </c>
      <c r="B41" s="5" t="s">
        <v>167</v>
      </c>
      <c r="C41" s="5" t="s">
        <v>168</v>
      </c>
      <c r="D41">
        <v>17.629161109999998</v>
      </c>
      <c r="E41">
        <v>22.674779480000002</v>
      </c>
      <c r="F41">
        <v>14.95743751</v>
      </c>
      <c r="G41">
        <v>16.292192140000001</v>
      </c>
      <c r="H41">
        <v>122</v>
      </c>
      <c r="I41">
        <v>59</v>
      </c>
      <c r="J41">
        <v>48</v>
      </c>
      <c r="K41">
        <v>8</v>
      </c>
      <c r="L41">
        <v>13</v>
      </c>
      <c r="M41" s="5" t="s">
        <v>169</v>
      </c>
      <c r="N41">
        <v>0.84370000000000001</v>
      </c>
      <c r="O41">
        <v>0.36729600000000001</v>
      </c>
      <c r="P41">
        <v>7.0080000000000003E-3</v>
      </c>
      <c r="Q41" s="5" t="s">
        <v>170</v>
      </c>
    </row>
    <row r="42" spans="1:17">
      <c r="A42" t="s">
        <v>20</v>
      </c>
      <c r="B42">
        <v>42.693942667500004</v>
      </c>
      <c r="C42" s="5" t="s">
        <v>171</v>
      </c>
      <c r="D42">
        <v>41.585500430000003</v>
      </c>
      <c r="E42">
        <v>41.343802340000003</v>
      </c>
      <c r="F42">
        <v>44.258395239999999</v>
      </c>
      <c r="G42">
        <v>43.588072660000002</v>
      </c>
      <c r="H42">
        <v>33</v>
      </c>
      <c r="I42">
        <v>70</v>
      </c>
      <c r="J42">
        <v>47</v>
      </c>
      <c r="K42">
        <v>63</v>
      </c>
      <c r="L42">
        <v>37</v>
      </c>
      <c r="M42">
        <v>4.3107240000000004</v>
      </c>
      <c r="N42" s="5" t="s">
        <v>110</v>
      </c>
      <c r="O42">
        <v>0.35964400000000002</v>
      </c>
      <c r="P42">
        <v>5.5188000000000001E-2</v>
      </c>
      <c r="Q42">
        <v>5.7265560000000004</v>
      </c>
    </row>
    <row r="43" spans="1:17">
      <c r="A43" t="s">
        <v>20</v>
      </c>
      <c r="B43">
        <v>59.239201352499997</v>
      </c>
      <c r="C43" s="5" t="s">
        <v>172</v>
      </c>
      <c r="D43">
        <v>59.21154035</v>
      </c>
      <c r="E43">
        <v>58.756728840000001</v>
      </c>
      <c r="F43">
        <v>59.344997339999999</v>
      </c>
      <c r="G43">
        <v>59.643538880000001</v>
      </c>
      <c r="H43">
        <v>25</v>
      </c>
      <c r="I43">
        <v>64</v>
      </c>
      <c r="J43">
        <v>16</v>
      </c>
      <c r="K43">
        <v>31</v>
      </c>
      <c r="L43">
        <v>114</v>
      </c>
      <c r="M43">
        <v>3.2656999999999998</v>
      </c>
      <c r="N43">
        <v>0.91520000000000001</v>
      </c>
      <c r="O43">
        <v>0.122432</v>
      </c>
      <c r="P43">
        <v>2.7156E-2</v>
      </c>
      <c r="Q43" s="5" t="s">
        <v>173</v>
      </c>
    </row>
    <row r="44" spans="1:17">
      <c r="A44" t="s">
        <v>20</v>
      </c>
      <c r="B44" s="5" t="s">
        <v>174</v>
      </c>
      <c r="C44" s="5" t="s">
        <v>175</v>
      </c>
      <c r="D44">
        <v>37.165418899999999</v>
      </c>
      <c r="E44">
        <v>39.764180529999997</v>
      </c>
      <c r="F44">
        <v>40.041370999999998</v>
      </c>
      <c r="G44">
        <v>39.841994919999998</v>
      </c>
      <c r="H44">
        <v>28</v>
      </c>
      <c r="I44">
        <v>64</v>
      </c>
      <c r="J44">
        <v>55</v>
      </c>
      <c r="K44">
        <v>82</v>
      </c>
      <c r="L44">
        <v>21</v>
      </c>
      <c r="M44">
        <v>3.6575839999999999</v>
      </c>
      <c r="N44">
        <v>0.91520000000000001</v>
      </c>
      <c r="O44">
        <v>0.42086000000000001</v>
      </c>
      <c r="P44">
        <v>7.1831999999999993E-2</v>
      </c>
      <c r="Q44">
        <v>5.0654760000000003</v>
      </c>
    </row>
    <row r="45" spans="1:17">
      <c r="A45" t="s">
        <v>20</v>
      </c>
      <c r="B45">
        <v>42.565158369999999</v>
      </c>
      <c r="C45" s="5" t="s">
        <v>176</v>
      </c>
      <c r="D45">
        <v>43.152021740000002</v>
      </c>
      <c r="E45">
        <v>42.386837659999998</v>
      </c>
      <c r="F45">
        <v>41.990225160000001</v>
      </c>
      <c r="G45">
        <v>42.731548920000002</v>
      </c>
      <c r="H45">
        <v>32</v>
      </c>
      <c r="I45">
        <v>49</v>
      </c>
      <c r="J45">
        <v>50</v>
      </c>
      <c r="K45">
        <v>67</v>
      </c>
      <c r="L45">
        <v>52</v>
      </c>
      <c r="M45">
        <v>4.1800959999999998</v>
      </c>
      <c r="N45">
        <v>0.70069999999999999</v>
      </c>
      <c r="O45">
        <v>0.3826</v>
      </c>
      <c r="P45">
        <v>5.8692000000000001E-2</v>
      </c>
      <c r="Q45">
        <v>5.3220879999999999</v>
      </c>
    </row>
    <row r="46" spans="1:17">
      <c r="A46" t="s">
        <v>20</v>
      </c>
      <c r="B46">
        <v>50.865378542499997</v>
      </c>
      <c r="C46" s="5" t="s">
        <v>177</v>
      </c>
      <c r="D46">
        <v>49.076958099999999</v>
      </c>
      <c r="E46">
        <v>51.851899490000001</v>
      </c>
      <c r="F46">
        <v>51.097211250000001</v>
      </c>
      <c r="G46">
        <v>51.43544533</v>
      </c>
      <c r="H46">
        <v>23</v>
      </c>
      <c r="I46">
        <v>66</v>
      </c>
      <c r="J46">
        <v>11</v>
      </c>
      <c r="K46">
        <v>89</v>
      </c>
      <c r="L46">
        <v>61</v>
      </c>
      <c r="M46">
        <v>3.0044439999999999</v>
      </c>
      <c r="N46">
        <v>0.94379999999999997</v>
      </c>
      <c r="O46">
        <v>8.4171999999999997E-2</v>
      </c>
      <c r="P46">
        <v>7.7964000000000006E-2</v>
      </c>
      <c r="Q46" s="5" t="s">
        <v>178</v>
      </c>
    </row>
    <row r="47" spans="1:17">
      <c r="A47" t="s">
        <v>20</v>
      </c>
      <c r="B47">
        <v>51.105464947500003</v>
      </c>
      <c r="C47" s="5" t="s">
        <v>179</v>
      </c>
      <c r="D47">
        <v>49.192516959999999</v>
      </c>
      <c r="E47">
        <v>52.640177360000003</v>
      </c>
      <c r="F47">
        <v>51.819444830000002</v>
      </c>
      <c r="G47">
        <v>50.769720640000003</v>
      </c>
      <c r="H47">
        <v>94</v>
      </c>
      <c r="I47">
        <v>16</v>
      </c>
      <c r="J47">
        <v>15</v>
      </c>
      <c r="K47">
        <v>38</v>
      </c>
      <c r="L47">
        <v>87</v>
      </c>
      <c r="M47" s="5" t="s">
        <v>114</v>
      </c>
      <c r="N47">
        <v>0.2288</v>
      </c>
      <c r="O47">
        <v>0.11477999999999999</v>
      </c>
      <c r="P47">
        <v>3.3287999999999998E-2</v>
      </c>
      <c r="Q47" s="5" t="s">
        <v>180</v>
      </c>
    </row>
    <row r="48" spans="1:17">
      <c r="A48" t="s">
        <v>19</v>
      </c>
      <c r="B48" s="5" t="s">
        <v>181</v>
      </c>
      <c r="C48" s="5" t="s">
        <v>182</v>
      </c>
      <c r="D48">
        <v>42.311381820000001</v>
      </c>
      <c r="E48">
        <v>43.270464910000001</v>
      </c>
      <c r="F48">
        <v>42.548658340000003</v>
      </c>
      <c r="G48">
        <v>43.598059300000003</v>
      </c>
      <c r="H48">
        <v>10</v>
      </c>
      <c r="I48">
        <v>107</v>
      </c>
      <c r="J48">
        <v>17</v>
      </c>
      <c r="K48">
        <v>49</v>
      </c>
      <c r="L48">
        <v>67</v>
      </c>
      <c r="M48" s="5" t="s">
        <v>120</v>
      </c>
      <c r="N48">
        <v>1.5301</v>
      </c>
      <c r="O48">
        <v>0.13008400000000001</v>
      </c>
      <c r="P48" s="5" t="s">
        <v>183</v>
      </c>
      <c r="Q48" s="5" t="s">
        <v>184</v>
      </c>
    </row>
    <row r="49" spans="1:17">
      <c r="A49" t="s">
        <v>19</v>
      </c>
      <c r="B49" s="5" t="s">
        <v>185</v>
      </c>
      <c r="C49" s="5" t="s">
        <v>186</v>
      </c>
      <c r="D49">
        <v>39.021679239999997</v>
      </c>
      <c r="E49">
        <v>53.531203329999997</v>
      </c>
      <c r="F49">
        <v>54.695231839999998</v>
      </c>
      <c r="G49">
        <v>54.828406149999999</v>
      </c>
      <c r="H49">
        <v>68</v>
      </c>
      <c r="I49">
        <v>18</v>
      </c>
      <c r="J49">
        <v>27</v>
      </c>
      <c r="K49">
        <v>69</v>
      </c>
      <c r="L49">
        <v>68</v>
      </c>
      <c r="M49">
        <v>8.8827040000000004</v>
      </c>
      <c r="N49">
        <v>0.25740000000000002</v>
      </c>
      <c r="O49">
        <v>0.20660400000000001</v>
      </c>
      <c r="P49" s="5" t="s">
        <v>122</v>
      </c>
      <c r="Q49" s="5" t="s">
        <v>187</v>
      </c>
    </row>
    <row r="50" spans="1:17">
      <c r="A50" t="s">
        <v>19</v>
      </c>
      <c r="B50">
        <v>42.947345802500003</v>
      </c>
      <c r="C50" s="5" t="s">
        <v>188</v>
      </c>
      <c r="D50">
        <v>43.43559741</v>
      </c>
      <c r="E50">
        <v>43.038490520000003</v>
      </c>
      <c r="F50">
        <v>42.448189460000002</v>
      </c>
      <c r="G50">
        <v>42.867105819999999</v>
      </c>
      <c r="H50">
        <v>7</v>
      </c>
      <c r="I50">
        <v>72</v>
      </c>
      <c r="J50">
        <v>7</v>
      </c>
      <c r="K50">
        <v>115</v>
      </c>
      <c r="L50">
        <v>49</v>
      </c>
      <c r="M50">
        <v>0.91439599999999999</v>
      </c>
      <c r="N50">
        <v>1.0296000000000001</v>
      </c>
      <c r="O50">
        <v>5.3564000000000001E-2</v>
      </c>
      <c r="P50" s="5" t="s">
        <v>189</v>
      </c>
      <c r="Q50">
        <v>2.0983000000000001</v>
      </c>
    </row>
    <row r="51" spans="1:17">
      <c r="A51" t="s">
        <v>19</v>
      </c>
      <c r="B51">
        <v>36.774583759999999</v>
      </c>
      <c r="C51" s="5" t="s">
        <v>190</v>
      </c>
      <c r="D51">
        <v>36.427164300000001</v>
      </c>
      <c r="E51">
        <v>36.82571385</v>
      </c>
      <c r="F51">
        <v>36.615227449999999</v>
      </c>
      <c r="G51">
        <v>37.230229440000002</v>
      </c>
      <c r="H51">
        <v>24</v>
      </c>
      <c r="I51">
        <v>10</v>
      </c>
      <c r="J51">
        <v>119</v>
      </c>
      <c r="K51">
        <v>77</v>
      </c>
      <c r="L51">
        <v>20</v>
      </c>
      <c r="M51">
        <v>3.1350720000000001</v>
      </c>
      <c r="N51" s="5" t="s">
        <v>191</v>
      </c>
      <c r="O51">
        <v>0.91058799999999995</v>
      </c>
      <c r="P51">
        <v>6.7451999999999998E-2</v>
      </c>
      <c r="Q51">
        <v>4.2561119999999999</v>
      </c>
    </row>
    <row r="52" spans="1:17">
      <c r="A52" t="s">
        <v>19</v>
      </c>
      <c r="B52">
        <v>41.285471815000001</v>
      </c>
      <c r="C52">
        <v>0.70274425737687096</v>
      </c>
      <c r="D52">
        <v>40.085318880000003</v>
      </c>
      <c r="E52">
        <v>41.676010550000001</v>
      </c>
      <c r="F52">
        <v>41.524790520000003</v>
      </c>
      <c r="G52">
        <v>41.855767309999997</v>
      </c>
      <c r="H52">
        <v>24</v>
      </c>
      <c r="I52">
        <v>29</v>
      </c>
      <c r="J52">
        <v>99</v>
      </c>
      <c r="K52">
        <v>19</v>
      </c>
      <c r="L52">
        <v>79</v>
      </c>
      <c r="M52">
        <v>3.1350720000000001</v>
      </c>
      <c r="N52">
        <v>0.41470000000000001</v>
      </c>
      <c r="O52">
        <v>0.757548</v>
      </c>
      <c r="P52">
        <v>1.6643999999999999E-2</v>
      </c>
      <c r="Q52">
        <v>4.3239640000000001</v>
      </c>
    </row>
    <row r="53" spans="1:17">
      <c r="A53" t="s">
        <v>20</v>
      </c>
      <c r="B53" s="5" t="s">
        <v>192</v>
      </c>
      <c r="C53" s="5" t="s">
        <v>193</v>
      </c>
      <c r="D53">
        <v>58.376072559999997</v>
      </c>
      <c r="E53">
        <v>54.994325379999999</v>
      </c>
      <c r="F53">
        <v>54.682317980000001</v>
      </c>
      <c r="G53">
        <v>8.1663545630000005</v>
      </c>
      <c r="H53">
        <v>64</v>
      </c>
      <c r="I53">
        <v>42</v>
      </c>
      <c r="J53">
        <v>17</v>
      </c>
      <c r="K53">
        <v>8</v>
      </c>
      <c r="L53">
        <v>119</v>
      </c>
      <c r="M53">
        <v>8.3601919999999996</v>
      </c>
      <c r="N53">
        <v>0.60060000000000002</v>
      </c>
      <c r="O53">
        <v>0.13008400000000001</v>
      </c>
      <c r="P53">
        <v>7.0080000000000003E-3</v>
      </c>
      <c r="Q53">
        <v>9.0978840000000005</v>
      </c>
    </row>
    <row r="54" spans="1:17">
      <c r="A54" t="s">
        <v>20</v>
      </c>
      <c r="B54">
        <v>60.302358515000002</v>
      </c>
      <c r="C54" s="5" t="s">
        <v>194</v>
      </c>
      <c r="D54">
        <v>59.678462619999998</v>
      </c>
      <c r="E54">
        <v>60.059570100000002</v>
      </c>
      <c r="F54">
        <v>60.619077750000002</v>
      </c>
      <c r="G54">
        <v>60.852323589999997</v>
      </c>
      <c r="H54">
        <v>37</v>
      </c>
      <c r="I54">
        <v>9</v>
      </c>
      <c r="J54">
        <v>46</v>
      </c>
      <c r="K54">
        <v>25</v>
      </c>
      <c r="L54">
        <v>133</v>
      </c>
      <c r="M54" s="5" t="s">
        <v>156</v>
      </c>
      <c r="N54">
        <v>0.12870000000000001</v>
      </c>
      <c r="O54" s="5" t="s">
        <v>195</v>
      </c>
      <c r="P54" s="5" t="s">
        <v>196</v>
      </c>
      <c r="Q54" s="5" t="s">
        <v>197</v>
      </c>
    </row>
    <row r="55" spans="1:17">
      <c r="A55" t="s">
        <v>20</v>
      </c>
      <c r="B55">
        <v>61.182410417500002</v>
      </c>
      <c r="C55" s="5" t="s">
        <v>198</v>
      </c>
      <c r="D55">
        <v>61.002644850000003</v>
      </c>
      <c r="E55">
        <v>61.051574170000002</v>
      </c>
      <c r="F55">
        <v>61.101707500000003</v>
      </c>
      <c r="G55">
        <v>61.573715149999998</v>
      </c>
      <c r="H55">
        <v>33</v>
      </c>
      <c r="I55">
        <v>16</v>
      </c>
      <c r="J55">
        <v>38</v>
      </c>
      <c r="K55">
        <v>16</v>
      </c>
      <c r="L55">
        <v>147</v>
      </c>
      <c r="M55">
        <v>4.3107240000000004</v>
      </c>
      <c r="N55">
        <v>0.2288</v>
      </c>
      <c r="O55">
        <v>0.29077599999999998</v>
      </c>
      <c r="P55">
        <v>1.4016000000000001E-2</v>
      </c>
      <c r="Q55" s="5" t="s">
        <v>199</v>
      </c>
    </row>
    <row r="56" spans="1:17">
      <c r="A56" t="s">
        <v>20</v>
      </c>
      <c r="B56">
        <v>50.737554317499999</v>
      </c>
      <c r="C56" s="5" t="s">
        <v>200</v>
      </c>
      <c r="D56">
        <v>50.460411039999997</v>
      </c>
      <c r="E56">
        <v>51.161874589999996</v>
      </c>
      <c r="F56">
        <v>50.398628530000003</v>
      </c>
      <c r="G56">
        <v>50.929303109999999</v>
      </c>
      <c r="H56">
        <v>24</v>
      </c>
      <c r="I56">
        <v>70</v>
      </c>
      <c r="J56">
        <v>14</v>
      </c>
      <c r="K56">
        <v>67</v>
      </c>
      <c r="L56">
        <v>75</v>
      </c>
      <c r="M56">
        <v>3.1350720000000001</v>
      </c>
      <c r="N56" s="5" t="s">
        <v>110</v>
      </c>
      <c r="O56">
        <v>0.107128</v>
      </c>
      <c r="P56">
        <v>5.8692000000000001E-2</v>
      </c>
      <c r="Q56" s="5" t="s">
        <v>201</v>
      </c>
    </row>
    <row r="57" spans="1:17">
      <c r="A57" t="s">
        <v>20</v>
      </c>
      <c r="B57">
        <v>49.515952267499998</v>
      </c>
      <c r="C57">
        <v>0.924079451370449</v>
      </c>
      <c r="D57">
        <v>48.729857150000001</v>
      </c>
      <c r="E57">
        <v>49.455297799999997</v>
      </c>
      <c r="F57">
        <v>48.835793099999997</v>
      </c>
      <c r="G57">
        <v>51.042861019999997</v>
      </c>
      <c r="H57">
        <v>50</v>
      </c>
      <c r="I57">
        <v>54</v>
      </c>
      <c r="J57">
        <v>16</v>
      </c>
      <c r="K57">
        <v>77</v>
      </c>
      <c r="L57">
        <v>53</v>
      </c>
      <c r="M57">
        <v>6.5313999999999997</v>
      </c>
      <c r="N57">
        <v>0.7722</v>
      </c>
      <c r="O57">
        <v>0.122432</v>
      </c>
      <c r="P57">
        <v>6.7451999999999998E-2</v>
      </c>
      <c r="Q57">
        <v>7.4934839999999996</v>
      </c>
    </row>
    <row r="58" spans="1:17">
      <c r="A58" t="s">
        <v>19</v>
      </c>
      <c r="B58" s="5" t="s">
        <v>202</v>
      </c>
      <c r="C58" s="5" t="s">
        <v>203</v>
      </c>
      <c r="D58">
        <v>49.31990132</v>
      </c>
      <c r="E58">
        <v>49.705739950000002</v>
      </c>
      <c r="F58">
        <v>49.230493240000001</v>
      </c>
      <c r="G58">
        <v>49.857730670000002</v>
      </c>
      <c r="H58">
        <v>26</v>
      </c>
      <c r="I58">
        <v>58</v>
      </c>
      <c r="J58">
        <v>18</v>
      </c>
      <c r="K58">
        <v>108</v>
      </c>
      <c r="L58">
        <v>40</v>
      </c>
      <c r="M58">
        <v>3.396328</v>
      </c>
      <c r="N58">
        <v>0.82940000000000003</v>
      </c>
      <c r="O58">
        <v>0.137736</v>
      </c>
      <c r="P58">
        <v>9.4607999999999998E-2</v>
      </c>
      <c r="Q58" s="5" t="s">
        <v>204</v>
      </c>
    </row>
    <row r="59" spans="1:17">
      <c r="A59" t="s">
        <v>19</v>
      </c>
      <c r="B59" s="5" t="s">
        <v>205</v>
      </c>
      <c r="C59" s="5" t="s">
        <v>206</v>
      </c>
      <c r="D59">
        <v>42.700642500000001</v>
      </c>
      <c r="E59">
        <v>18.312003409999999</v>
      </c>
      <c r="F59">
        <v>15.47497922</v>
      </c>
      <c r="G59">
        <v>17.2301839</v>
      </c>
      <c r="H59">
        <v>84</v>
      </c>
      <c r="I59">
        <v>23</v>
      </c>
      <c r="J59">
        <v>47</v>
      </c>
      <c r="K59">
        <v>16</v>
      </c>
      <c r="L59">
        <v>80</v>
      </c>
      <c r="M59">
        <v>10.972752</v>
      </c>
      <c r="N59">
        <v>0.32890000000000003</v>
      </c>
      <c r="O59">
        <v>0.35964400000000002</v>
      </c>
      <c r="P59">
        <v>1.4016000000000001E-2</v>
      </c>
      <c r="Q59">
        <v>11.675312</v>
      </c>
    </row>
    <row r="60" spans="1:17">
      <c r="A60" t="s">
        <v>19</v>
      </c>
      <c r="B60">
        <v>0</v>
      </c>
      <c r="C60">
        <v>0</v>
      </c>
      <c r="D60">
        <v>10.68474902</v>
      </c>
      <c r="E60">
        <v>14.37037924</v>
      </c>
      <c r="F60">
        <v>6.8904199650000004</v>
      </c>
      <c r="G60">
        <v>13.408553700000001</v>
      </c>
      <c r="H60">
        <v>103</v>
      </c>
      <c r="I60">
        <v>110</v>
      </c>
      <c r="J60">
        <v>26</v>
      </c>
      <c r="K60">
        <v>6</v>
      </c>
      <c r="L60">
        <v>5</v>
      </c>
      <c r="M60" s="5" t="s">
        <v>207</v>
      </c>
      <c r="N60">
        <v>1.573</v>
      </c>
      <c r="O60">
        <v>0.19895199999999999</v>
      </c>
      <c r="P60">
        <v>5.2560000000000003E-3</v>
      </c>
      <c r="Q60" s="5" t="s">
        <v>208</v>
      </c>
    </row>
    <row r="61" spans="1:17">
      <c r="A61" t="s">
        <v>19</v>
      </c>
      <c r="B61" s="5" t="s">
        <v>209</v>
      </c>
      <c r="C61" s="5" t="s">
        <v>210</v>
      </c>
      <c r="D61">
        <v>25.110166209999999</v>
      </c>
      <c r="E61">
        <v>25.1424287</v>
      </c>
      <c r="F61">
        <v>24.598135370000001</v>
      </c>
      <c r="G61">
        <v>24.778993759999999</v>
      </c>
      <c r="H61">
        <v>5</v>
      </c>
      <c r="I61">
        <v>78</v>
      </c>
      <c r="J61">
        <v>118</v>
      </c>
      <c r="K61">
        <v>33</v>
      </c>
      <c r="L61">
        <v>16</v>
      </c>
      <c r="M61" s="5" t="s">
        <v>211</v>
      </c>
      <c r="N61">
        <v>1.1153999999999999</v>
      </c>
      <c r="O61">
        <v>0.90293599999999996</v>
      </c>
      <c r="P61" s="5" t="s">
        <v>212</v>
      </c>
      <c r="Q61" s="5" t="s">
        <v>213</v>
      </c>
    </row>
    <row r="62" spans="1:17">
      <c r="A62" t="s">
        <v>19</v>
      </c>
      <c r="B62" s="5" t="s">
        <v>214</v>
      </c>
      <c r="C62" s="5" t="s">
        <v>215</v>
      </c>
      <c r="D62">
        <v>40.560747689999999</v>
      </c>
      <c r="E62">
        <v>41.412222399999997</v>
      </c>
      <c r="F62">
        <v>45.109949139999998</v>
      </c>
      <c r="G62">
        <v>45.244139789999998</v>
      </c>
      <c r="H62">
        <v>27</v>
      </c>
      <c r="I62">
        <v>86</v>
      </c>
      <c r="J62">
        <v>31</v>
      </c>
      <c r="K62">
        <v>13</v>
      </c>
      <c r="L62">
        <v>93</v>
      </c>
      <c r="M62" s="5" t="s">
        <v>216</v>
      </c>
      <c r="N62">
        <v>1.2298</v>
      </c>
      <c r="O62">
        <v>0.23721200000000001</v>
      </c>
      <c r="P62">
        <v>1.1388000000000001E-2</v>
      </c>
      <c r="Q62">
        <v>5.0053559999999999</v>
      </c>
    </row>
    <row r="63" spans="1:17">
      <c r="A63" t="s">
        <v>20</v>
      </c>
      <c r="B63">
        <v>45.376144932499997</v>
      </c>
      <c r="C63" s="5" t="s">
        <v>217</v>
      </c>
      <c r="D63">
        <v>45.720019999999998</v>
      </c>
      <c r="E63">
        <v>45.849228029999999</v>
      </c>
      <c r="F63">
        <v>45.062364080000002</v>
      </c>
      <c r="G63">
        <v>44.872967619999997</v>
      </c>
      <c r="H63">
        <v>26</v>
      </c>
      <c r="I63">
        <v>59</v>
      </c>
      <c r="J63">
        <v>24</v>
      </c>
      <c r="K63">
        <v>97</v>
      </c>
      <c r="L63">
        <v>44</v>
      </c>
      <c r="M63">
        <v>3.396328</v>
      </c>
      <c r="N63">
        <v>0.84370000000000001</v>
      </c>
      <c r="O63">
        <v>0.18364800000000001</v>
      </c>
      <c r="P63">
        <v>8.4972000000000006E-2</v>
      </c>
      <c r="Q63" s="5" t="s">
        <v>218</v>
      </c>
    </row>
    <row r="64" spans="1:17">
      <c r="A64" t="s">
        <v>20</v>
      </c>
      <c r="B64">
        <v>46.582691692499999</v>
      </c>
      <c r="C64" s="5" t="s">
        <v>219</v>
      </c>
      <c r="D64">
        <v>46.320895219999997</v>
      </c>
      <c r="E64">
        <v>46.683115540000003</v>
      </c>
      <c r="F64">
        <v>46.413239519999998</v>
      </c>
      <c r="G64">
        <v>46.913516489999999</v>
      </c>
      <c r="H64">
        <v>23</v>
      </c>
      <c r="I64">
        <v>22</v>
      </c>
      <c r="J64">
        <v>47</v>
      </c>
      <c r="K64">
        <v>75</v>
      </c>
      <c r="L64">
        <v>83</v>
      </c>
      <c r="M64">
        <v>3.0044439999999999</v>
      </c>
      <c r="N64">
        <v>0.31459999999999999</v>
      </c>
      <c r="O64">
        <v>0.35964400000000002</v>
      </c>
      <c r="P64">
        <v>6.5699999999999995E-2</v>
      </c>
      <c r="Q64">
        <v>3.7443879999999998</v>
      </c>
    </row>
    <row r="65" spans="1:17">
      <c r="A65" t="s">
        <v>20</v>
      </c>
      <c r="B65">
        <v>56.5917818275</v>
      </c>
      <c r="C65" s="5" t="s">
        <v>220</v>
      </c>
      <c r="D65">
        <v>63.589058049999998</v>
      </c>
      <c r="E65">
        <v>53.357021340000003</v>
      </c>
      <c r="F65">
        <v>51.570772650000002</v>
      </c>
      <c r="G65">
        <v>57.850275269999997</v>
      </c>
      <c r="H65">
        <v>24</v>
      </c>
      <c r="I65">
        <v>69</v>
      </c>
      <c r="J65">
        <v>9</v>
      </c>
      <c r="K65">
        <v>31</v>
      </c>
      <c r="L65">
        <v>117</v>
      </c>
      <c r="M65">
        <v>3.1350720000000001</v>
      </c>
      <c r="N65">
        <v>0.98670000000000002</v>
      </c>
      <c r="O65">
        <v>6.8867999999999999E-2</v>
      </c>
      <c r="P65">
        <v>2.7156E-2</v>
      </c>
      <c r="Q65">
        <v>4.2177959999999999</v>
      </c>
    </row>
    <row r="66" spans="1:17">
      <c r="A66" t="s">
        <v>20</v>
      </c>
      <c r="B66" s="5" t="s">
        <v>221</v>
      </c>
      <c r="C66" s="5" t="s">
        <v>222</v>
      </c>
      <c r="D66">
        <v>43.569656350000002</v>
      </c>
      <c r="E66">
        <v>42.682655099999998</v>
      </c>
      <c r="F66">
        <v>43.270277450000002</v>
      </c>
      <c r="G66">
        <v>45.63661346</v>
      </c>
      <c r="H66">
        <v>70</v>
      </c>
      <c r="I66">
        <v>39</v>
      </c>
      <c r="J66">
        <v>37</v>
      </c>
      <c r="K66">
        <v>42</v>
      </c>
      <c r="L66">
        <v>62</v>
      </c>
      <c r="M66">
        <v>9.1439599999999999</v>
      </c>
      <c r="N66">
        <v>0.55769999999999997</v>
      </c>
      <c r="O66">
        <v>0.28312399999999999</v>
      </c>
      <c r="P66" s="5" t="s">
        <v>223</v>
      </c>
      <c r="Q66" s="5" t="s">
        <v>224</v>
      </c>
    </row>
    <row r="67" spans="1:17">
      <c r="A67" t="s">
        <v>20</v>
      </c>
      <c r="B67">
        <v>51.510058727500002</v>
      </c>
      <c r="C67" s="5" t="s">
        <v>225</v>
      </c>
      <c r="D67">
        <v>52.000143639999997</v>
      </c>
      <c r="E67">
        <v>50.741771499999999</v>
      </c>
      <c r="F67">
        <v>52.456373730000003</v>
      </c>
      <c r="G67">
        <v>50.841946040000003</v>
      </c>
      <c r="H67">
        <v>54</v>
      </c>
      <c r="I67">
        <v>13</v>
      </c>
      <c r="J67">
        <v>51</v>
      </c>
      <c r="K67">
        <v>23</v>
      </c>
      <c r="L67">
        <v>109</v>
      </c>
      <c r="M67" s="5" t="s">
        <v>226</v>
      </c>
      <c r="N67">
        <v>0.18590000000000001</v>
      </c>
      <c r="O67">
        <v>0.39025199999999999</v>
      </c>
      <c r="P67">
        <v>2.0147999999999999E-2</v>
      </c>
      <c r="Q67">
        <v>7.6502119999999998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D4FB-0BA6-8648-AB29-7B632ED59275}">
  <dimension ref="A1:AA127"/>
  <sheetViews>
    <sheetView topLeftCell="H1" workbookViewId="0">
      <selection activeCell="X2" sqref="X2"/>
    </sheetView>
  </sheetViews>
  <sheetFormatPr baseColWidth="10" defaultRowHeight="16"/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27">
      <c r="A2" t="s">
        <v>19</v>
      </c>
      <c r="B2">
        <v>53.355815489999998</v>
      </c>
      <c r="C2">
        <v>1.4168179789999999</v>
      </c>
      <c r="D2">
        <v>52.921873300000001</v>
      </c>
      <c r="E2">
        <v>52.998525870000002</v>
      </c>
      <c r="F2">
        <v>51.827827079999999</v>
      </c>
      <c r="G2">
        <v>55.675035719999997</v>
      </c>
      <c r="H2">
        <v>19</v>
      </c>
      <c r="I2">
        <v>48</v>
      </c>
      <c r="J2">
        <v>31</v>
      </c>
      <c r="K2">
        <v>7</v>
      </c>
      <c r="L2">
        <v>25</v>
      </c>
      <c r="M2">
        <v>120</v>
      </c>
      <c r="N2">
        <v>2.481932</v>
      </c>
      <c r="O2">
        <v>4.0156799999999997</v>
      </c>
      <c r="P2">
        <v>0.44330000000000003</v>
      </c>
      <c r="Q2">
        <v>5.3564000000000001E-2</v>
      </c>
      <c r="R2">
        <v>2.1899999999999999E-2</v>
      </c>
      <c r="S2">
        <v>6.9944759999999997</v>
      </c>
      <c r="U2">
        <f>31.698*H2/SUM(H2:M2)</f>
        <v>2.4090480000000003</v>
      </c>
      <c r="V2">
        <f>I2*20.915/SUM(H2:M2)</f>
        <v>4.0156799999999997</v>
      </c>
      <c r="W2">
        <f>J2*3.575/SUM(H2:M2)</f>
        <v>0.44330000000000003</v>
      </c>
      <c r="X2">
        <f>K2*1.913/SUM(H2:M2)</f>
        <v>5.3564000000000001E-2</v>
      </c>
      <c r="Y2">
        <f>L2*0.219/SUM(H2:M2)</f>
        <v>2.1899999999999999E-2</v>
      </c>
      <c r="Z2">
        <f>SUM(U2:Y2)</f>
        <v>6.9434919999999991</v>
      </c>
      <c r="AA2">
        <f>SUM(N2:R2)</f>
        <v>7.0163759999999993</v>
      </c>
    </row>
    <row r="3" spans="1:27">
      <c r="A3" t="s">
        <v>19</v>
      </c>
      <c r="B3">
        <v>14.893729889999999</v>
      </c>
      <c r="C3">
        <v>4.6550254469999999</v>
      </c>
      <c r="D3">
        <v>15.330376859999999</v>
      </c>
      <c r="E3">
        <v>17.49735802</v>
      </c>
      <c r="F3">
        <v>7.2463633009999997</v>
      </c>
      <c r="G3">
        <v>19.500821370000001</v>
      </c>
      <c r="H3">
        <v>10</v>
      </c>
      <c r="I3">
        <v>131</v>
      </c>
      <c r="J3">
        <v>42</v>
      </c>
      <c r="K3">
        <v>16</v>
      </c>
      <c r="L3">
        <v>23</v>
      </c>
      <c r="M3">
        <v>28</v>
      </c>
      <c r="N3">
        <v>1.3062800000000001</v>
      </c>
      <c r="O3">
        <v>10.95946</v>
      </c>
      <c r="P3">
        <v>0.60060000000000002</v>
      </c>
      <c r="Q3">
        <v>0.122432</v>
      </c>
      <c r="R3">
        <v>2.0147999999999999E-2</v>
      </c>
      <c r="S3">
        <v>12.988772000000001</v>
      </c>
    </row>
    <row r="4" spans="1:27">
      <c r="A4" t="s">
        <v>19</v>
      </c>
      <c r="B4">
        <v>20.004551159999998</v>
      </c>
      <c r="C4">
        <v>0.772442929</v>
      </c>
      <c r="D4">
        <v>21.29974077</v>
      </c>
      <c r="E4">
        <v>19.832073170000001</v>
      </c>
      <c r="F4">
        <v>19.286404340000001</v>
      </c>
      <c r="G4">
        <v>19.599986349999998</v>
      </c>
      <c r="H4">
        <v>16</v>
      </c>
      <c r="I4">
        <v>124</v>
      </c>
      <c r="J4">
        <v>29</v>
      </c>
      <c r="K4">
        <v>37</v>
      </c>
      <c r="L4">
        <v>33</v>
      </c>
      <c r="M4">
        <v>11</v>
      </c>
      <c r="N4">
        <v>2.0900479999999999</v>
      </c>
      <c r="O4">
        <v>10.37384</v>
      </c>
      <c r="P4">
        <v>0.41470000000000001</v>
      </c>
      <c r="Q4">
        <v>0.28312399999999999</v>
      </c>
      <c r="R4">
        <v>2.8908E-2</v>
      </c>
      <c r="S4">
        <v>13.161712</v>
      </c>
    </row>
    <row r="5" spans="1:27">
      <c r="A5" t="s">
        <v>19</v>
      </c>
      <c r="B5">
        <v>21.481738440000001</v>
      </c>
      <c r="C5">
        <v>12.704535740000001</v>
      </c>
      <c r="D5">
        <v>24.519315850000002</v>
      </c>
      <c r="E5">
        <v>0</v>
      </c>
      <c r="F5">
        <v>29.148921569999999</v>
      </c>
      <c r="G5">
        <v>32.25871635</v>
      </c>
      <c r="H5">
        <v>19</v>
      </c>
      <c r="I5">
        <v>99</v>
      </c>
      <c r="J5">
        <v>40</v>
      </c>
      <c r="K5">
        <v>31</v>
      </c>
      <c r="L5">
        <v>20</v>
      </c>
      <c r="M5">
        <v>41</v>
      </c>
      <c r="N5">
        <v>2.481932</v>
      </c>
      <c r="O5">
        <v>8.2823399999999996</v>
      </c>
      <c r="P5">
        <v>0.57199999999999995</v>
      </c>
      <c r="Q5">
        <v>0.23721200000000001</v>
      </c>
      <c r="R5">
        <v>1.7520000000000001E-2</v>
      </c>
      <c r="S5">
        <v>11.573484000000001</v>
      </c>
      <c r="U5">
        <f>N2*SUM(H2:M2)/H2</f>
        <v>32.657000000000004</v>
      </c>
    </row>
    <row r="6" spans="1:27">
      <c r="A6" t="s">
        <v>19</v>
      </c>
      <c r="B6">
        <v>34.839586879999999</v>
      </c>
      <c r="C6">
        <v>1.3668110550000001</v>
      </c>
      <c r="D6">
        <v>32.50458648</v>
      </c>
      <c r="E6">
        <v>35.982808259999999</v>
      </c>
      <c r="F6">
        <v>35.394615330000001</v>
      </c>
      <c r="G6">
        <v>35.476337440000002</v>
      </c>
      <c r="H6">
        <v>5</v>
      </c>
      <c r="I6">
        <v>140</v>
      </c>
      <c r="J6">
        <v>14</v>
      </c>
      <c r="K6">
        <v>20</v>
      </c>
      <c r="L6">
        <v>31</v>
      </c>
      <c r="M6">
        <v>40</v>
      </c>
      <c r="N6">
        <v>0.65314000000000005</v>
      </c>
      <c r="O6">
        <v>11.712400000000001</v>
      </c>
      <c r="P6">
        <v>0.20019999999999999</v>
      </c>
      <c r="Q6">
        <v>0.15304000000000001</v>
      </c>
      <c r="R6">
        <v>2.7156E-2</v>
      </c>
      <c r="S6">
        <v>12.718780000000001</v>
      </c>
    </row>
    <row r="7" spans="1:27">
      <c r="A7" t="s">
        <v>20</v>
      </c>
      <c r="B7">
        <v>42.196744260000003</v>
      </c>
      <c r="C7">
        <v>1.6409043510000001</v>
      </c>
      <c r="D7">
        <v>42.728256129999998</v>
      </c>
      <c r="E7">
        <v>39.387301989999997</v>
      </c>
      <c r="F7">
        <v>43.323176179999997</v>
      </c>
      <c r="G7">
        <v>43.348242740000003</v>
      </c>
      <c r="H7">
        <v>19</v>
      </c>
      <c r="I7">
        <v>91</v>
      </c>
      <c r="J7">
        <v>18</v>
      </c>
      <c r="K7">
        <v>49</v>
      </c>
      <c r="L7">
        <v>15</v>
      </c>
      <c r="M7">
        <v>58</v>
      </c>
      <c r="N7">
        <v>2.481932</v>
      </c>
      <c r="O7">
        <v>7.6130599999999999</v>
      </c>
      <c r="P7">
        <v>0.25740000000000002</v>
      </c>
      <c r="Q7">
        <v>0.374948</v>
      </c>
      <c r="R7">
        <v>1.3140000000000001E-2</v>
      </c>
      <c r="S7">
        <v>10.72734</v>
      </c>
    </row>
    <row r="8" spans="1:27">
      <c r="A8" t="s">
        <v>20</v>
      </c>
      <c r="B8">
        <v>38.396936920000002</v>
      </c>
      <c r="C8">
        <v>1.321845264</v>
      </c>
      <c r="D8">
        <v>40.22189229</v>
      </c>
      <c r="E8">
        <v>38.406525629999997</v>
      </c>
      <c r="F8">
        <v>36.48574095</v>
      </c>
      <c r="G8">
        <v>38.473588800000002</v>
      </c>
      <c r="H8">
        <v>19</v>
      </c>
      <c r="I8">
        <v>94</v>
      </c>
      <c r="J8">
        <v>31</v>
      </c>
      <c r="K8">
        <v>49</v>
      </c>
      <c r="L8">
        <v>20</v>
      </c>
      <c r="M8">
        <v>37</v>
      </c>
      <c r="N8">
        <v>2.481932</v>
      </c>
      <c r="O8">
        <v>7.8640400000000001</v>
      </c>
      <c r="P8">
        <v>0.44330000000000003</v>
      </c>
      <c r="Q8">
        <v>0.374948</v>
      </c>
      <c r="R8">
        <v>1.7520000000000001E-2</v>
      </c>
      <c r="S8">
        <v>11.16422</v>
      </c>
    </row>
    <row r="9" spans="1:27">
      <c r="A9" t="s">
        <v>20</v>
      </c>
      <c r="B9">
        <v>40.013322729999999</v>
      </c>
      <c r="C9">
        <v>2.8184481020000001</v>
      </c>
      <c r="D9">
        <v>37.461267550000002</v>
      </c>
      <c r="E9">
        <v>36.988143610000002</v>
      </c>
      <c r="F9">
        <v>42.274145769999997</v>
      </c>
      <c r="G9">
        <v>43.329733990000001</v>
      </c>
      <c r="H9">
        <v>14</v>
      </c>
      <c r="I9">
        <v>94</v>
      </c>
      <c r="J9">
        <v>30</v>
      </c>
      <c r="K9">
        <v>48</v>
      </c>
      <c r="L9">
        <v>27</v>
      </c>
      <c r="M9">
        <v>37</v>
      </c>
      <c r="N9">
        <v>1.828792</v>
      </c>
      <c r="O9">
        <v>7.8640400000000001</v>
      </c>
      <c r="P9">
        <v>0.42899999999999999</v>
      </c>
      <c r="Q9">
        <v>0.36729600000000001</v>
      </c>
      <c r="R9">
        <v>2.3651999999999999E-2</v>
      </c>
      <c r="S9">
        <v>10.489127999999999</v>
      </c>
    </row>
    <row r="10" spans="1:27">
      <c r="A10" t="s">
        <v>20</v>
      </c>
      <c r="B10">
        <v>33.509916750000002</v>
      </c>
      <c r="C10">
        <v>0.63719448599999995</v>
      </c>
      <c r="D10">
        <v>34.26543616</v>
      </c>
      <c r="E10">
        <v>32.801714099999998</v>
      </c>
      <c r="F10">
        <v>32.961574069999998</v>
      </c>
      <c r="G10">
        <v>34.01094269</v>
      </c>
      <c r="H10">
        <v>14</v>
      </c>
      <c r="I10">
        <v>89</v>
      </c>
      <c r="J10">
        <v>22</v>
      </c>
      <c r="K10">
        <v>41</v>
      </c>
      <c r="L10">
        <v>29</v>
      </c>
      <c r="M10">
        <v>55</v>
      </c>
      <c r="N10">
        <v>1.828792</v>
      </c>
      <c r="O10">
        <v>7.4457399999999998</v>
      </c>
      <c r="P10">
        <v>0.31459999999999999</v>
      </c>
      <c r="Q10">
        <v>0.31373200000000001</v>
      </c>
      <c r="R10">
        <v>2.5403999999999999E-2</v>
      </c>
      <c r="S10">
        <v>9.9028639999999992</v>
      </c>
    </row>
    <row r="11" spans="1:27">
      <c r="A11" t="s">
        <v>20</v>
      </c>
      <c r="B11">
        <v>27.114037799999998</v>
      </c>
      <c r="C11">
        <v>2.824713359</v>
      </c>
      <c r="D11">
        <v>22.569551270000002</v>
      </c>
      <c r="E11">
        <v>27.54974717</v>
      </c>
      <c r="F11">
        <v>28.021082310000001</v>
      </c>
      <c r="G11">
        <v>30.315770449999999</v>
      </c>
      <c r="H11">
        <v>19</v>
      </c>
      <c r="I11">
        <v>88</v>
      </c>
      <c r="J11">
        <v>26</v>
      </c>
      <c r="K11">
        <v>46</v>
      </c>
      <c r="L11">
        <v>16</v>
      </c>
      <c r="M11">
        <v>55</v>
      </c>
      <c r="N11">
        <v>2.481932</v>
      </c>
      <c r="O11">
        <v>7.3620799999999997</v>
      </c>
      <c r="P11">
        <v>0.37180000000000002</v>
      </c>
      <c r="Q11">
        <v>0.35199200000000003</v>
      </c>
      <c r="R11">
        <v>1.4016000000000001E-2</v>
      </c>
      <c r="S11">
        <v>10.567804000000001</v>
      </c>
    </row>
    <row r="12" spans="1:27">
      <c r="A12" t="s">
        <v>20</v>
      </c>
      <c r="B12">
        <v>34.863991929999997</v>
      </c>
      <c r="C12">
        <v>0.83034791399999996</v>
      </c>
      <c r="D12">
        <v>34.564344380000001</v>
      </c>
      <c r="E12">
        <v>34.733145639999996</v>
      </c>
      <c r="F12">
        <v>33.948235140000001</v>
      </c>
      <c r="G12">
        <v>36.210242549999997</v>
      </c>
      <c r="H12">
        <v>18</v>
      </c>
      <c r="I12">
        <v>92</v>
      </c>
      <c r="J12">
        <v>35</v>
      </c>
      <c r="K12">
        <v>34</v>
      </c>
      <c r="L12">
        <v>16</v>
      </c>
      <c r="M12">
        <v>55</v>
      </c>
      <c r="N12">
        <v>2.3513039999999998</v>
      </c>
      <c r="O12">
        <v>7.69672</v>
      </c>
      <c r="P12">
        <v>0.50049999999999994</v>
      </c>
      <c r="Q12">
        <v>0.26016800000000001</v>
      </c>
      <c r="R12">
        <v>1.4016000000000001E-2</v>
      </c>
      <c r="S12">
        <v>10.808692000000001</v>
      </c>
    </row>
    <row r="13" spans="1:27">
      <c r="A13" t="s">
        <v>20</v>
      </c>
      <c r="B13">
        <v>52.561414429999999</v>
      </c>
      <c r="C13">
        <v>3.0319816670000002</v>
      </c>
      <c r="D13">
        <v>55.149530319999997</v>
      </c>
      <c r="E13">
        <v>50.26079902</v>
      </c>
      <c r="F13">
        <v>48.900623690000003</v>
      </c>
      <c r="G13">
        <v>55.934704709999998</v>
      </c>
      <c r="H13">
        <v>10</v>
      </c>
      <c r="I13">
        <v>68</v>
      </c>
      <c r="J13">
        <v>26</v>
      </c>
      <c r="K13">
        <v>33</v>
      </c>
      <c r="L13">
        <v>16</v>
      </c>
      <c r="M13">
        <v>97</v>
      </c>
      <c r="N13">
        <v>1.3062800000000001</v>
      </c>
      <c r="O13">
        <v>5.6888800000000002</v>
      </c>
      <c r="P13">
        <v>0.37180000000000002</v>
      </c>
      <c r="Q13">
        <v>0.25251600000000002</v>
      </c>
      <c r="R13">
        <v>1.4016000000000001E-2</v>
      </c>
      <c r="S13">
        <v>7.6194759999999997</v>
      </c>
    </row>
    <row r="14" spans="1:27">
      <c r="A14" t="s">
        <v>20</v>
      </c>
      <c r="B14">
        <v>67.357386140000003</v>
      </c>
      <c r="C14">
        <v>2.0858414409999999</v>
      </c>
      <c r="D14">
        <v>70.543836760000005</v>
      </c>
      <c r="E14">
        <v>66.025095680000007</v>
      </c>
      <c r="F14">
        <v>67.800619470000001</v>
      </c>
      <c r="G14">
        <v>65.059992640000004</v>
      </c>
      <c r="H14">
        <v>19</v>
      </c>
      <c r="I14">
        <v>5</v>
      </c>
      <c r="J14">
        <v>32</v>
      </c>
      <c r="K14">
        <v>21</v>
      </c>
      <c r="L14">
        <v>12</v>
      </c>
      <c r="M14">
        <v>161</v>
      </c>
      <c r="N14">
        <v>2.481932</v>
      </c>
      <c r="O14">
        <v>0.41830000000000001</v>
      </c>
      <c r="P14">
        <v>0.45760000000000001</v>
      </c>
      <c r="Q14">
        <v>0.160692</v>
      </c>
      <c r="R14">
        <v>1.0512000000000001E-2</v>
      </c>
      <c r="S14">
        <v>3.5185240000000002</v>
      </c>
    </row>
    <row r="15" spans="1:27">
      <c r="A15" t="s">
        <v>20</v>
      </c>
      <c r="B15">
        <v>41.641048009999999</v>
      </c>
      <c r="C15">
        <v>3.467812865</v>
      </c>
      <c r="D15">
        <v>38.09127479</v>
      </c>
      <c r="E15">
        <v>45.373801810000003</v>
      </c>
      <c r="F15">
        <v>44.832226040000002</v>
      </c>
      <c r="G15">
        <v>38.266889419999998</v>
      </c>
      <c r="H15">
        <v>5</v>
      </c>
      <c r="I15">
        <v>96</v>
      </c>
      <c r="J15">
        <v>21</v>
      </c>
      <c r="K15">
        <v>45</v>
      </c>
      <c r="L15">
        <v>7</v>
      </c>
      <c r="M15">
        <v>76</v>
      </c>
      <c r="N15">
        <v>0.65314000000000005</v>
      </c>
      <c r="O15">
        <v>8.0313599999999994</v>
      </c>
      <c r="P15">
        <v>0.30030000000000001</v>
      </c>
      <c r="Q15">
        <v>0.34433999999999998</v>
      </c>
      <c r="R15">
        <v>6.1320000000000003E-3</v>
      </c>
      <c r="S15">
        <v>9.3291400000000007</v>
      </c>
    </row>
    <row r="16" spans="1:27">
      <c r="A16" t="s">
        <v>20</v>
      </c>
      <c r="B16">
        <v>32.759886350000002</v>
      </c>
      <c r="C16">
        <v>6.582240348</v>
      </c>
      <c r="D16">
        <v>25.262244989999999</v>
      </c>
      <c r="E16">
        <v>41.02124405</v>
      </c>
      <c r="F16">
        <v>37.304855959999998</v>
      </c>
      <c r="G16">
        <v>27.451200419999999</v>
      </c>
      <c r="H16">
        <v>18</v>
      </c>
      <c r="I16">
        <v>104</v>
      </c>
      <c r="J16">
        <v>12</v>
      </c>
      <c r="K16">
        <v>49</v>
      </c>
      <c r="L16">
        <v>45</v>
      </c>
      <c r="M16">
        <v>22</v>
      </c>
      <c r="N16">
        <v>2.3513039999999998</v>
      </c>
      <c r="O16">
        <v>8.7006399999999999</v>
      </c>
      <c r="P16">
        <v>0.1716</v>
      </c>
      <c r="Q16">
        <v>0.374948</v>
      </c>
      <c r="R16">
        <v>3.9419999999999997E-2</v>
      </c>
      <c r="S16">
        <v>11.598492</v>
      </c>
    </row>
    <row r="17" spans="1:19">
      <c r="A17" t="s">
        <v>20</v>
      </c>
      <c r="B17">
        <v>35.497593160000001</v>
      </c>
      <c r="C17">
        <v>1.5382288</v>
      </c>
      <c r="D17">
        <v>35.931194640000001</v>
      </c>
      <c r="E17">
        <v>34.560668149999998</v>
      </c>
      <c r="F17">
        <v>37.782981229999997</v>
      </c>
      <c r="G17">
        <v>33.715528630000001</v>
      </c>
      <c r="H17">
        <v>17</v>
      </c>
      <c r="I17">
        <v>82</v>
      </c>
      <c r="J17">
        <v>30</v>
      </c>
      <c r="K17">
        <v>48</v>
      </c>
      <c r="L17">
        <v>44</v>
      </c>
      <c r="M17">
        <v>29</v>
      </c>
      <c r="N17">
        <v>2.2206760000000001</v>
      </c>
      <c r="O17">
        <v>6.8601200000000002</v>
      </c>
      <c r="P17">
        <v>0.42899999999999999</v>
      </c>
      <c r="Q17">
        <v>0.36729600000000001</v>
      </c>
      <c r="R17">
        <v>3.8544000000000002E-2</v>
      </c>
      <c r="S17">
        <v>9.8770919999999993</v>
      </c>
    </row>
    <row r="18" spans="1:19">
      <c r="A18" t="s">
        <v>20</v>
      </c>
      <c r="B18">
        <v>34.180821510000001</v>
      </c>
      <c r="C18">
        <v>2.3857532840000002</v>
      </c>
      <c r="D18">
        <v>32.246467590000002</v>
      </c>
      <c r="E18">
        <v>36.411590590000003</v>
      </c>
      <c r="F18">
        <v>36.678864879999999</v>
      </c>
      <c r="G18">
        <v>31.386362980000001</v>
      </c>
      <c r="H18">
        <v>19</v>
      </c>
      <c r="I18">
        <v>89</v>
      </c>
      <c r="J18">
        <v>9</v>
      </c>
      <c r="K18">
        <v>49</v>
      </c>
      <c r="L18">
        <v>18</v>
      </c>
      <c r="M18">
        <v>66</v>
      </c>
      <c r="N18">
        <v>2.481932</v>
      </c>
      <c r="O18">
        <v>7.4457399999999998</v>
      </c>
      <c r="P18">
        <v>0.12870000000000001</v>
      </c>
      <c r="Q18">
        <v>0.374948</v>
      </c>
      <c r="R18">
        <v>1.5768000000000001E-2</v>
      </c>
      <c r="S18">
        <v>10.431319999999999</v>
      </c>
    </row>
    <row r="19" spans="1:19">
      <c r="A19" t="s">
        <v>20</v>
      </c>
      <c r="B19">
        <v>24.867892820000002</v>
      </c>
      <c r="C19">
        <v>7.5460760139999996</v>
      </c>
      <c r="D19">
        <v>20.12013872</v>
      </c>
      <c r="E19">
        <v>34.700652310000002</v>
      </c>
      <c r="F19">
        <v>15.410909500000001</v>
      </c>
      <c r="G19">
        <v>29.239870750000001</v>
      </c>
      <c r="H19">
        <v>18</v>
      </c>
      <c r="I19">
        <v>112</v>
      </c>
      <c r="J19">
        <v>24</v>
      </c>
      <c r="K19">
        <v>37</v>
      </c>
      <c r="L19">
        <v>17</v>
      </c>
      <c r="M19">
        <v>42</v>
      </c>
      <c r="N19">
        <v>2.3513039999999998</v>
      </c>
      <c r="O19">
        <v>9.3699200000000005</v>
      </c>
      <c r="P19">
        <v>0.34320000000000001</v>
      </c>
      <c r="Q19">
        <v>0.28312399999999999</v>
      </c>
      <c r="R19">
        <v>1.4892000000000001E-2</v>
      </c>
      <c r="S19">
        <v>12.347548</v>
      </c>
    </row>
    <row r="20" spans="1:19">
      <c r="A20" t="s">
        <v>20</v>
      </c>
      <c r="B20">
        <v>29.49082233</v>
      </c>
      <c r="C20">
        <v>2.960465084</v>
      </c>
      <c r="D20">
        <v>27.42764614</v>
      </c>
      <c r="E20">
        <v>28.949014200000001</v>
      </c>
      <c r="F20">
        <v>34.475310579999999</v>
      </c>
      <c r="G20">
        <v>27.111318409999999</v>
      </c>
      <c r="H20">
        <v>19</v>
      </c>
      <c r="I20">
        <v>94</v>
      </c>
      <c r="J20">
        <v>23</v>
      </c>
      <c r="K20">
        <v>45</v>
      </c>
      <c r="L20">
        <v>31</v>
      </c>
      <c r="M20">
        <v>38</v>
      </c>
      <c r="N20">
        <v>2.481932</v>
      </c>
      <c r="O20">
        <v>7.8640400000000001</v>
      </c>
      <c r="P20">
        <v>0.32890000000000003</v>
      </c>
      <c r="Q20">
        <v>0.34433999999999998</v>
      </c>
      <c r="R20">
        <v>2.7156E-2</v>
      </c>
      <c r="S20">
        <v>11.019212</v>
      </c>
    </row>
    <row r="21" spans="1:19">
      <c r="A21" t="s">
        <v>20</v>
      </c>
      <c r="B21">
        <v>40.062859760000002</v>
      </c>
      <c r="C21">
        <v>1.075400702</v>
      </c>
      <c r="D21">
        <v>41.528741490000002</v>
      </c>
      <c r="E21">
        <v>40.562562440000001</v>
      </c>
      <c r="F21">
        <v>39.464563060000003</v>
      </c>
      <c r="G21">
        <v>38.695572040000002</v>
      </c>
      <c r="H21">
        <v>18</v>
      </c>
      <c r="I21">
        <v>102</v>
      </c>
      <c r="J21">
        <v>12</v>
      </c>
      <c r="K21">
        <v>36</v>
      </c>
      <c r="L21">
        <v>28</v>
      </c>
      <c r="M21">
        <v>54</v>
      </c>
      <c r="N21">
        <v>2.3513039999999998</v>
      </c>
      <c r="O21">
        <v>8.5333199999999998</v>
      </c>
      <c r="P21">
        <v>0.1716</v>
      </c>
      <c r="Q21">
        <v>0.27547199999999999</v>
      </c>
      <c r="R21">
        <v>2.4528000000000001E-2</v>
      </c>
      <c r="S21">
        <v>11.331696000000001</v>
      </c>
    </row>
    <row r="22" spans="1:19">
      <c r="A22" t="s">
        <v>20</v>
      </c>
      <c r="B22">
        <v>41.057944630000001</v>
      </c>
      <c r="C22">
        <v>7.6912351110000001</v>
      </c>
      <c r="D22">
        <v>47.144360900000002</v>
      </c>
      <c r="E22">
        <v>45.4778296</v>
      </c>
      <c r="F22">
        <v>43.705723110000001</v>
      </c>
      <c r="G22">
        <v>27.90386492</v>
      </c>
      <c r="H22">
        <v>19</v>
      </c>
      <c r="I22">
        <v>94</v>
      </c>
      <c r="J22">
        <v>23</v>
      </c>
      <c r="K22">
        <v>36</v>
      </c>
      <c r="L22">
        <v>28</v>
      </c>
      <c r="M22">
        <v>50</v>
      </c>
      <c r="N22">
        <v>2.481932</v>
      </c>
      <c r="O22">
        <v>7.8640400000000001</v>
      </c>
      <c r="P22">
        <v>0.32890000000000003</v>
      </c>
      <c r="Q22">
        <v>0.27547199999999999</v>
      </c>
      <c r="R22">
        <v>2.4528000000000001E-2</v>
      </c>
      <c r="S22">
        <v>10.950343999999999</v>
      </c>
    </row>
    <row r="23" spans="1:19">
      <c r="A23" t="s">
        <v>20</v>
      </c>
      <c r="B23">
        <v>29.483059050000001</v>
      </c>
      <c r="C23">
        <v>1.6398181650000001</v>
      </c>
      <c r="D23">
        <v>29.976134429999998</v>
      </c>
      <c r="E23">
        <v>26.746138429999998</v>
      </c>
      <c r="F23">
        <v>31.10734403</v>
      </c>
      <c r="G23">
        <v>30.102619310000001</v>
      </c>
      <c r="H23">
        <v>12</v>
      </c>
      <c r="I23">
        <v>96</v>
      </c>
      <c r="J23">
        <v>22</v>
      </c>
      <c r="K23">
        <v>46</v>
      </c>
      <c r="L23">
        <v>39</v>
      </c>
      <c r="M23">
        <v>35</v>
      </c>
      <c r="N23">
        <v>1.567536</v>
      </c>
      <c r="O23">
        <v>8.0313599999999994</v>
      </c>
      <c r="P23">
        <v>0.31459999999999999</v>
      </c>
      <c r="Q23">
        <v>0.35199200000000003</v>
      </c>
      <c r="R23">
        <v>3.4164E-2</v>
      </c>
      <c r="S23">
        <v>10.265488</v>
      </c>
    </row>
    <row r="24" spans="1:19">
      <c r="A24" t="s">
        <v>20</v>
      </c>
      <c r="B24">
        <v>33.623220349999997</v>
      </c>
      <c r="C24">
        <v>2.2189891909999999</v>
      </c>
      <c r="D24">
        <v>30.814340059999999</v>
      </c>
      <c r="E24">
        <v>32.163657190000002</v>
      </c>
      <c r="F24">
        <v>35.225598910000002</v>
      </c>
      <c r="G24">
        <v>36.289285229999997</v>
      </c>
      <c r="H24">
        <v>19</v>
      </c>
      <c r="I24">
        <v>81</v>
      </c>
      <c r="J24">
        <v>28</v>
      </c>
      <c r="K24">
        <v>45</v>
      </c>
      <c r="L24">
        <v>18</v>
      </c>
      <c r="M24">
        <v>59</v>
      </c>
      <c r="N24">
        <v>2.481932</v>
      </c>
      <c r="O24">
        <v>6.7764600000000002</v>
      </c>
      <c r="P24">
        <v>0.40039999999999998</v>
      </c>
      <c r="Q24">
        <v>0.34433999999999998</v>
      </c>
      <c r="R24">
        <v>1.5768000000000001E-2</v>
      </c>
      <c r="S24">
        <v>10.003132000000001</v>
      </c>
    </row>
    <row r="25" spans="1:19">
      <c r="A25" t="s">
        <v>20</v>
      </c>
      <c r="B25">
        <v>33.103571680000002</v>
      </c>
      <c r="C25">
        <v>0.92944708700000001</v>
      </c>
      <c r="D25">
        <v>34.636146199999999</v>
      </c>
      <c r="E25">
        <v>32.157527850000001</v>
      </c>
      <c r="F25">
        <v>32.951187259999998</v>
      </c>
      <c r="G25">
        <v>32.669425429999997</v>
      </c>
      <c r="H25">
        <v>19</v>
      </c>
      <c r="I25">
        <v>93</v>
      </c>
      <c r="J25">
        <v>24</v>
      </c>
      <c r="K25">
        <v>43</v>
      </c>
      <c r="L25">
        <v>31</v>
      </c>
      <c r="M25">
        <v>40</v>
      </c>
      <c r="N25">
        <v>2.481932</v>
      </c>
      <c r="O25">
        <v>7.7803800000000001</v>
      </c>
      <c r="P25">
        <v>0.34320000000000001</v>
      </c>
      <c r="Q25">
        <v>0.329036</v>
      </c>
      <c r="R25">
        <v>2.7156E-2</v>
      </c>
      <c r="S25">
        <v>10.934547999999999</v>
      </c>
    </row>
    <row r="26" spans="1:19">
      <c r="A26" t="s">
        <v>20</v>
      </c>
      <c r="B26">
        <v>34.115181159999999</v>
      </c>
      <c r="C26">
        <v>2.4177893730000002</v>
      </c>
      <c r="D26">
        <v>31.967618959999999</v>
      </c>
      <c r="E26">
        <v>32.624833639999999</v>
      </c>
      <c r="F26">
        <v>33.705630999999997</v>
      </c>
      <c r="G26">
        <v>38.162641020000002</v>
      </c>
      <c r="H26">
        <v>17</v>
      </c>
      <c r="I26">
        <v>91</v>
      </c>
      <c r="J26">
        <v>26</v>
      </c>
      <c r="K26">
        <v>46</v>
      </c>
      <c r="L26">
        <v>16</v>
      </c>
      <c r="M26">
        <v>54</v>
      </c>
      <c r="N26">
        <v>2.2206760000000001</v>
      </c>
      <c r="O26">
        <v>7.6130599999999999</v>
      </c>
      <c r="P26">
        <v>0.37180000000000002</v>
      </c>
      <c r="Q26">
        <v>0.35199200000000003</v>
      </c>
      <c r="R26">
        <v>1.4016000000000001E-2</v>
      </c>
      <c r="S26">
        <v>10.557528</v>
      </c>
    </row>
    <row r="27" spans="1:19">
      <c r="A27" t="s">
        <v>20</v>
      </c>
      <c r="B27">
        <v>38.443480809999997</v>
      </c>
      <c r="C27">
        <v>1.7999922989999999</v>
      </c>
      <c r="D27">
        <v>36.625335730000003</v>
      </c>
      <c r="E27">
        <v>36.996824199999999</v>
      </c>
      <c r="F27">
        <v>39.019482789999998</v>
      </c>
      <c r="G27">
        <v>41.132280530000003</v>
      </c>
      <c r="H27">
        <v>17</v>
      </c>
      <c r="I27">
        <v>92</v>
      </c>
      <c r="J27">
        <v>29</v>
      </c>
      <c r="K27">
        <v>36</v>
      </c>
      <c r="L27">
        <v>39</v>
      </c>
      <c r="M27">
        <v>37</v>
      </c>
      <c r="N27">
        <v>2.2206760000000001</v>
      </c>
      <c r="O27">
        <v>7.69672</v>
      </c>
      <c r="P27">
        <v>0.41470000000000001</v>
      </c>
      <c r="Q27">
        <v>0.27547199999999999</v>
      </c>
      <c r="R27">
        <v>3.4164E-2</v>
      </c>
      <c r="S27">
        <v>10.607568000000001</v>
      </c>
    </row>
    <row r="28" spans="1:19">
      <c r="A28" t="s">
        <v>20</v>
      </c>
      <c r="B28">
        <v>34.473336070000002</v>
      </c>
      <c r="C28">
        <v>1.691695985</v>
      </c>
      <c r="D28">
        <v>34.153320710000003</v>
      </c>
      <c r="E28">
        <v>32.903213190000002</v>
      </c>
      <c r="F28">
        <v>33.535145470000003</v>
      </c>
      <c r="G28">
        <v>37.301664889999998</v>
      </c>
      <c r="H28">
        <v>19</v>
      </c>
      <c r="I28">
        <v>95</v>
      </c>
      <c r="J28">
        <v>19</v>
      </c>
      <c r="K28">
        <v>47</v>
      </c>
      <c r="L28">
        <v>21</v>
      </c>
      <c r="M28">
        <v>49</v>
      </c>
      <c r="N28">
        <v>2.481932</v>
      </c>
      <c r="O28">
        <v>7.9477000000000002</v>
      </c>
      <c r="P28">
        <v>0.2717</v>
      </c>
      <c r="Q28">
        <v>0.35964400000000002</v>
      </c>
      <c r="R28">
        <v>1.8395999999999999E-2</v>
      </c>
      <c r="S28">
        <v>11.060976</v>
      </c>
    </row>
    <row r="29" spans="1:19">
      <c r="A29" t="s">
        <v>20</v>
      </c>
      <c r="B29">
        <v>37.567152729999997</v>
      </c>
      <c r="C29">
        <v>4.0348782989999998</v>
      </c>
      <c r="D29">
        <v>36.498710039999999</v>
      </c>
      <c r="E29">
        <v>31.420339299999998</v>
      </c>
      <c r="F29">
        <v>41.46298736</v>
      </c>
      <c r="G29">
        <v>40.886574199999998</v>
      </c>
      <c r="H29">
        <v>19</v>
      </c>
      <c r="I29">
        <v>87</v>
      </c>
      <c r="J29">
        <v>35</v>
      </c>
      <c r="K29">
        <v>41</v>
      </c>
      <c r="L29">
        <v>12</v>
      </c>
      <c r="M29">
        <v>56</v>
      </c>
      <c r="N29">
        <v>2.481932</v>
      </c>
      <c r="O29">
        <v>7.2784199999999997</v>
      </c>
      <c r="P29">
        <v>0.50049999999999994</v>
      </c>
      <c r="Q29">
        <v>0.31373200000000001</v>
      </c>
      <c r="R29">
        <v>1.0512000000000001E-2</v>
      </c>
      <c r="S29">
        <v>10.574584</v>
      </c>
    </row>
    <row r="30" spans="1:19">
      <c r="A30" t="s">
        <v>20</v>
      </c>
      <c r="B30">
        <v>45.232948980000003</v>
      </c>
      <c r="C30">
        <v>3.4278994190000001</v>
      </c>
      <c r="D30">
        <v>45.131146649999998</v>
      </c>
      <c r="E30">
        <v>41.828557689999997</v>
      </c>
      <c r="F30">
        <v>43.16145187</v>
      </c>
      <c r="G30">
        <v>50.810639690000002</v>
      </c>
      <c r="H30">
        <v>7</v>
      </c>
      <c r="I30">
        <v>88</v>
      </c>
      <c r="J30">
        <v>25</v>
      </c>
      <c r="K30">
        <v>46</v>
      </c>
      <c r="L30">
        <v>29</v>
      </c>
      <c r="M30">
        <v>55</v>
      </c>
      <c r="N30">
        <v>0.91439599999999999</v>
      </c>
      <c r="O30">
        <v>7.3620799999999997</v>
      </c>
      <c r="P30">
        <v>0.35749999999999998</v>
      </c>
      <c r="Q30">
        <v>0.35199200000000003</v>
      </c>
      <c r="R30">
        <v>2.5403999999999999E-2</v>
      </c>
      <c r="S30">
        <v>8.9859679999999997</v>
      </c>
    </row>
    <row r="31" spans="1:19">
      <c r="A31" t="s">
        <v>20</v>
      </c>
      <c r="B31">
        <v>37.306392299999999</v>
      </c>
      <c r="C31">
        <v>1.368319423</v>
      </c>
      <c r="D31">
        <v>35.060279059999999</v>
      </c>
      <c r="E31">
        <v>37.347594909999998</v>
      </c>
      <c r="F31">
        <v>38.332511519999997</v>
      </c>
      <c r="G31">
        <v>38.485183710000001</v>
      </c>
      <c r="H31">
        <v>19</v>
      </c>
      <c r="I31">
        <v>91</v>
      </c>
      <c r="J31">
        <v>24</v>
      </c>
      <c r="K31">
        <v>49</v>
      </c>
      <c r="L31">
        <v>42</v>
      </c>
      <c r="M31">
        <v>25</v>
      </c>
      <c r="N31">
        <v>2.481932</v>
      </c>
      <c r="O31">
        <v>7.6130599999999999</v>
      </c>
      <c r="P31">
        <v>0.34320000000000001</v>
      </c>
      <c r="Q31">
        <v>0.374948</v>
      </c>
      <c r="R31">
        <v>3.6791999999999998E-2</v>
      </c>
      <c r="S31">
        <v>10.813140000000001</v>
      </c>
    </row>
    <row r="32" spans="1:19">
      <c r="A32" t="s">
        <v>20</v>
      </c>
      <c r="B32">
        <v>40.193390979999997</v>
      </c>
      <c r="C32">
        <v>3.321478709</v>
      </c>
      <c r="D32">
        <v>38.640572759999998</v>
      </c>
      <c r="E32">
        <v>37.354252440000003</v>
      </c>
      <c r="F32">
        <v>38.924380980000002</v>
      </c>
      <c r="G32">
        <v>45.854357749999998</v>
      </c>
      <c r="H32">
        <v>17</v>
      </c>
      <c r="I32">
        <v>98</v>
      </c>
      <c r="J32">
        <v>14</v>
      </c>
      <c r="K32">
        <v>48</v>
      </c>
      <c r="L32">
        <v>36</v>
      </c>
      <c r="M32">
        <v>37</v>
      </c>
      <c r="N32">
        <v>2.2206760000000001</v>
      </c>
      <c r="O32">
        <v>8.1986799999999995</v>
      </c>
      <c r="P32">
        <v>0.20019999999999999</v>
      </c>
      <c r="Q32">
        <v>0.36729600000000001</v>
      </c>
      <c r="R32">
        <v>3.1536000000000002E-2</v>
      </c>
      <c r="S32">
        <v>10.986852000000001</v>
      </c>
    </row>
    <row r="33" spans="1:19">
      <c r="A33" t="s">
        <v>20</v>
      </c>
      <c r="B33">
        <v>35.074746939999997</v>
      </c>
      <c r="C33">
        <v>2.2307908959999998</v>
      </c>
      <c r="D33">
        <v>34.338316310000003</v>
      </c>
      <c r="E33">
        <v>32.121309359999998</v>
      </c>
      <c r="F33">
        <v>35.535299459999997</v>
      </c>
      <c r="G33">
        <v>38.304062629999997</v>
      </c>
      <c r="H33">
        <v>15</v>
      </c>
      <c r="I33">
        <v>89</v>
      </c>
      <c r="J33">
        <v>19</v>
      </c>
      <c r="K33">
        <v>45</v>
      </c>
      <c r="L33">
        <v>40</v>
      </c>
      <c r="M33">
        <v>42</v>
      </c>
      <c r="N33">
        <v>1.9594199999999999</v>
      </c>
      <c r="O33">
        <v>7.4457399999999998</v>
      </c>
      <c r="P33">
        <v>0.2717</v>
      </c>
      <c r="Q33">
        <v>0.34433999999999998</v>
      </c>
      <c r="R33">
        <v>3.5040000000000002E-2</v>
      </c>
      <c r="S33">
        <v>10.0212</v>
      </c>
    </row>
    <row r="34" spans="1:19">
      <c r="A34" t="s">
        <v>20</v>
      </c>
      <c r="B34">
        <v>48.546880889999997</v>
      </c>
      <c r="C34">
        <v>1.7756244830000001</v>
      </c>
      <c r="D34">
        <v>50.147927639999999</v>
      </c>
      <c r="E34">
        <v>46.780695430000002</v>
      </c>
      <c r="F34">
        <v>46.7700186</v>
      </c>
      <c r="G34">
        <v>50.488881880000001</v>
      </c>
      <c r="H34">
        <v>17</v>
      </c>
      <c r="I34">
        <v>89</v>
      </c>
      <c r="J34">
        <v>14</v>
      </c>
      <c r="K34">
        <v>41</v>
      </c>
      <c r="L34">
        <v>19</v>
      </c>
      <c r="M34">
        <v>70</v>
      </c>
      <c r="N34">
        <v>2.2206760000000001</v>
      </c>
      <c r="O34">
        <v>7.4457399999999998</v>
      </c>
      <c r="P34">
        <v>0.20019999999999999</v>
      </c>
      <c r="Q34">
        <v>0.31373200000000001</v>
      </c>
      <c r="R34">
        <v>1.6643999999999999E-2</v>
      </c>
      <c r="S34">
        <v>10.180348</v>
      </c>
    </row>
    <row r="35" spans="1:19">
      <c r="A35" t="s">
        <v>20</v>
      </c>
      <c r="B35">
        <v>45.453861770000003</v>
      </c>
      <c r="C35">
        <v>2.0097133970000001</v>
      </c>
      <c r="D35">
        <v>45.521949020000001</v>
      </c>
      <c r="E35">
        <v>42.283290280000003</v>
      </c>
      <c r="F35">
        <v>46.203253510000003</v>
      </c>
      <c r="G35">
        <v>47.806954269999999</v>
      </c>
      <c r="H35">
        <v>17</v>
      </c>
      <c r="I35">
        <v>89</v>
      </c>
      <c r="J35">
        <v>15</v>
      </c>
      <c r="K35">
        <v>34</v>
      </c>
      <c r="L35">
        <v>28</v>
      </c>
      <c r="M35">
        <v>67</v>
      </c>
      <c r="N35">
        <v>2.2206760000000001</v>
      </c>
      <c r="O35">
        <v>7.4457399999999998</v>
      </c>
      <c r="P35">
        <v>0.2145</v>
      </c>
      <c r="Q35">
        <v>0.26016800000000001</v>
      </c>
      <c r="R35">
        <v>2.4528000000000001E-2</v>
      </c>
      <c r="S35">
        <v>10.141083999999999</v>
      </c>
    </row>
    <row r="36" spans="1:19">
      <c r="A36" t="s">
        <v>20</v>
      </c>
      <c r="B36">
        <v>46.688840409999997</v>
      </c>
      <c r="C36">
        <v>2.4452448859999998</v>
      </c>
      <c r="D36">
        <v>50.63935618</v>
      </c>
      <c r="E36">
        <v>46.000153060000002</v>
      </c>
      <c r="F36">
        <v>46.179590730000001</v>
      </c>
      <c r="G36">
        <v>43.936261649999999</v>
      </c>
      <c r="H36">
        <v>19</v>
      </c>
      <c r="I36">
        <v>69</v>
      </c>
      <c r="J36">
        <v>36</v>
      </c>
      <c r="K36">
        <v>49</v>
      </c>
      <c r="L36">
        <v>17</v>
      </c>
      <c r="M36">
        <v>60</v>
      </c>
      <c r="N36">
        <v>2.481932</v>
      </c>
      <c r="O36">
        <v>5.7725400000000002</v>
      </c>
      <c r="P36">
        <v>0.51480000000000004</v>
      </c>
      <c r="Q36">
        <v>0.374948</v>
      </c>
      <c r="R36">
        <v>1.4892000000000001E-2</v>
      </c>
      <c r="S36">
        <v>9.1442200000000007</v>
      </c>
    </row>
    <row r="37" spans="1:19">
      <c r="A37" t="s">
        <v>20</v>
      </c>
      <c r="B37">
        <v>50.821004309999999</v>
      </c>
      <c r="C37">
        <v>1.1984323029999999</v>
      </c>
      <c r="D37">
        <v>52.855573550000003</v>
      </c>
      <c r="E37">
        <v>49.763060789999997</v>
      </c>
      <c r="F37">
        <v>50.264337329999996</v>
      </c>
      <c r="G37">
        <v>50.401045580000002</v>
      </c>
      <c r="H37">
        <v>17</v>
      </c>
      <c r="I37">
        <v>90</v>
      </c>
      <c r="J37">
        <v>16</v>
      </c>
      <c r="K37">
        <v>18</v>
      </c>
      <c r="L37">
        <v>44</v>
      </c>
      <c r="M37">
        <v>65</v>
      </c>
      <c r="N37">
        <v>2.2206760000000001</v>
      </c>
      <c r="O37">
        <v>7.5293999999999999</v>
      </c>
      <c r="P37">
        <v>0.2288</v>
      </c>
      <c r="Q37">
        <v>0.137736</v>
      </c>
      <c r="R37">
        <v>3.8544000000000002E-2</v>
      </c>
      <c r="S37">
        <v>10.116612</v>
      </c>
    </row>
    <row r="38" spans="1:19">
      <c r="A38" t="s">
        <v>20</v>
      </c>
      <c r="B38">
        <v>43.447375749999999</v>
      </c>
      <c r="C38">
        <v>1.951675051</v>
      </c>
      <c r="D38">
        <v>44.585442430000001</v>
      </c>
      <c r="E38">
        <v>42.493071020000002</v>
      </c>
      <c r="F38">
        <v>45.906314709999997</v>
      </c>
      <c r="G38">
        <v>40.804674869999999</v>
      </c>
      <c r="H38">
        <v>17</v>
      </c>
      <c r="I38">
        <v>111</v>
      </c>
      <c r="J38">
        <v>15</v>
      </c>
      <c r="K38">
        <v>9</v>
      </c>
      <c r="L38">
        <v>48</v>
      </c>
      <c r="M38">
        <v>50</v>
      </c>
      <c r="N38">
        <v>2.2206760000000001</v>
      </c>
      <c r="O38">
        <v>9.2862600000000004</v>
      </c>
      <c r="P38">
        <v>0.2145</v>
      </c>
      <c r="Q38">
        <v>6.8867999999999999E-2</v>
      </c>
      <c r="R38">
        <v>4.2048000000000002E-2</v>
      </c>
      <c r="S38">
        <v>11.790304000000001</v>
      </c>
    </row>
    <row r="39" spans="1:19">
      <c r="A39" t="s">
        <v>20</v>
      </c>
      <c r="B39">
        <v>47.165793460000003</v>
      </c>
      <c r="C39">
        <v>1.599497782</v>
      </c>
      <c r="D39">
        <v>44.61614402</v>
      </c>
      <c r="E39">
        <v>48.514163369999999</v>
      </c>
      <c r="F39">
        <v>46.994027010000003</v>
      </c>
      <c r="G39">
        <v>48.538839420000002</v>
      </c>
      <c r="H39">
        <v>16</v>
      </c>
      <c r="I39">
        <v>101</v>
      </c>
      <c r="J39">
        <v>15</v>
      </c>
      <c r="K39">
        <v>19</v>
      </c>
      <c r="L39">
        <v>22</v>
      </c>
      <c r="M39">
        <v>77</v>
      </c>
      <c r="N39">
        <v>2.0900479999999999</v>
      </c>
      <c r="O39">
        <v>8.4496599999999997</v>
      </c>
      <c r="P39">
        <v>0.2145</v>
      </c>
      <c r="Q39">
        <v>0.14538799999999999</v>
      </c>
      <c r="R39">
        <v>1.9272000000000001E-2</v>
      </c>
      <c r="S39">
        <v>10.899596000000001</v>
      </c>
    </row>
    <row r="40" spans="1:19">
      <c r="A40" t="s">
        <v>20</v>
      </c>
      <c r="B40">
        <v>47.967415870000004</v>
      </c>
      <c r="C40">
        <v>2.6768381899999998</v>
      </c>
      <c r="D40">
        <v>52.171150310000002</v>
      </c>
      <c r="E40">
        <v>48.299994679999998</v>
      </c>
      <c r="F40">
        <v>45.155756719999999</v>
      </c>
      <c r="G40">
        <v>46.242761780000002</v>
      </c>
      <c r="H40">
        <v>14</v>
      </c>
      <c r="I40">
        <v>93</v>
      </c>
      <c r="J40">
        <v>30</v>
      </c>
      <c r="K40">
        <v>34</v>
      </c>
      <c r="L40">
        <v>28</v>
      </c>
      <c r="M40">
        <v>51</v>
      </c>
      <c r="N40">
        <v>1.828792</v>
      </c>
      <c r="O40">
        <v>7.7803800000000001</v>
      </c>
      <c r="P40">
        <v>0.42899999999999999</v>
      </c>
      <c r="Q40">
        <v>0.26016800000000001</v>
      </c>
      <c r="R40">
        <v>2.4528000000000001E-2</v>
      </c>
      <c r="S40">
        <v>10.29834</v>
      </c>
    </row>
    <row r="41" spans="1:19">
      <c r="A41" t="s">
        <v>20</v>
      </c>
      <c r="B41">
        <v>41.126494100000002</v>
      </c>
      <c r="C41">
        <v>4.3006253909999996</v>
      </c>
      <c r="D41">
        <v>35.514945019999999</v>
      </c>
      <c r="E41">
        <v>38.485621500000001</v>
      </c>
      <c r="F41">
        <v>46.109031989999998</v>
      </c>
      <c r="G41">
        <v>44.396377899999997</v>
      </c>
      <c r="H41">
        <v>14</v>
      </c>
      <c r="I41">
        <v>96</v>
      </c>
      <c r="J41">
        <v>19</v>
      </c>
      <c r="K41">
        <v>47</v>
      </c>
      <c r="L41">
        <v>49</v>
      </c>
      <c r="M41">
        <v>25</v>
      </c>
      <c r="N41">
        <v>1.828792</v>
      </c>
      <c r="O41">
        <v>8.0313599999999994</v>
      </c>
      <c r="P41">
        <v>0.2717</v>
      </c>
      <c r="Q41">
        <v>0.35964400000000002</v>
      </c>
      <c r="R41">
        <v>4.2923999999999997E-2</v>
      </c>
      <c r="S41">
        <v>10.491496</v>
      </c>
    </row>
    <row r="42" spans="1:19">
      <c r="A42" t="s">
        <v>20</v>
      </c>
      <c r="B42">
        <v>55.486811070000002</v>
      </c>
      <c r="C42">
        <v>1.883955356</v>
      </c>
      <c r="D42">
        <v>56.900311299999998</v>
      </c>
      <c r="E42">
        <v>52.636872410000002</v>
      </c>
      <c r="F42">
        <v>57.438995480000003</v>
      </c>
      <c r="G42">
        <v>54.971065090000003</v>
      </c>
      <c r="H42">
        <v>18</v>
      </c>
      <c r="I42">
        <v>99</v>
      </c>
      <c r="J42">
        <v>24</v>
      </c>
      <c r="K42">
        <v>32</v>
      </c>
      <c r="L42">
        <v>7</v>
      </c>
      <c r="M42">
        <v>70</v>
      </c>
      <c r="N42">
        <v>2.3513039999999998</v>
      </c>
      <c r="O42">
        <v>8.2823399999999996</v>
      </c>
      <c r="P42">
        <v>0.34320000000000001</v>
      </c>
      <c r="Q42">
        <v>0.244864</v>
      </c>
      <c r="R42">
        <v>6.1320000000000003E-3</v>
      </c>
      <c r="S42">
        <v>11.221708</v>
      </c>
    </row>
    <row r="43" spans="1:19">
      <c r="A43" t="s">
        <v>20</v>
      </c>
      <c r="B43">
        <v>43.554152430000002</v>
      </c>
      <c r="C43">
        <v>6.1640811419999997</v>
      </c>
      <c r="D43">
        <v>36.366053200000003</v>
      </c>
      <c r="E43">
        <v>42.75559844</v>
      </c>
      <c r="F43">
        <v>41.72580353</v>
      </c>
      <c r="G43">
        <v>53.369154549999998</v>
      </c>
      <c r="H43">
        <v>17</v>
      </c>
      <c r="I43">
        <v>98</v>
      </c>
      <c r="J43">
        <v>24</v>
      </c>
      <c r="K43">
        <v>32</v>
      </c>
      <c r="L43">
        <v>10</v>
      </c>
      <c r="M43">
        <v>69</v>
      </c>
      <c r="N43">
        <v>2.2206760000000001</v>
      </c>
      <c r="O43">
        <v>8.1986799999999995</v>
      </c>
      <c r="P43">
        <v>0.34320000000000001</v>
      </c>
      <c r="Q43">
        <v>0.244864</v>
      </c>
      <c r="R43">
        <v>8.7600000000000004E-3</v>
      </c>
      <c r="S43">
        <v>11.00742</v>
      </c>
    </row>
    <row r="44" spans="1:19">
      <c r="A44" t="s">
        <v>20</v>
      </c>
      <c r="B44">
        <v>78.064021249999996</v>
      </c>
      <c r="C44">
        <v>4.1974950680000003</v>
      </c>
      <c r="D44">
        <v>77.069366220000006</v>
      </c>
      <c r="E44">
        <v>75.495780190000005</v>
      </c>
      <c r="F44">
        <v>85.162589949999997</v>
      </c>
      <c r="G44">
        <v>74.528348620000003</v>
      </c>
      <c r="H44">
        <v>18</v>
      </c>
      <c r="I44">
        <v>58</v>
      </c>
      <c r="J44">
        <v>12</v>
      </c>
      <c r="K44">
        <v>18</v>
      </c>
      <c r="L44">
        <v>9</v>
      </c>
      <c r="M44">
        <v>135</v>
      </c>
      <c r="N44">
        <v>2.3513039999999998</v>
      </c>
      <c r="O44">
        <v>4.8522800000000004</v>
      </c>
      <c r="P44">
        <v>0.1716</v>
      </c>
      <c r="Q44">
        <v>0.137736</v>
      </c>
      <c r="R44">
        <v>7.8840000000000004E-3</v>
      </c>
      <c r="S44">
        <v>7.5129200000000003</v>
      </c>
    </row>
    <row r="45" spans="1:19">
      <c r="A45" t="s">
        <v>20</v>
      </c>
      <c r="B45">
        <v>39.395184919999998</v>
      </c>
      <c r="C45">
        <v>1.79336048</v>
      </c>
      <c r="D45">
        <v>42.223788599999999</v>
      </c>
      <c r="E45">
        <v>37.398039830000002</v>
      </c>
      <c r="F45">
        <v>39.493905959999999</v>
      </c>
      <c r="G45">
        <v>38.465005310000002</v>
      </c>
      <c r="H45">
        <v>17</v>
      </c>
      <c r="I45">
        <v>94</v>
      </c>
      <c r="J45">
        <v>11</v>
      </c>
      <c r="K45">
        <v>42</v>
      </c>
      <c r="L45">
        <v>19</v>
      </c>
      <c r="M45">
        <v>67</v>
      </c>
      <c r="N45">
        <v>2.2206760000000001</v>
      </c>
      <c r="O45">
        <v>7.8640400000000001</v>
      </c>
      <c r="P45">
        <v>0.1573</v>
      </c>
      <c r="Q45">
        <v>0.321384</v>
      </c>
      <c r="R45">
        <v>1.6643999999999999E-2</v>
      </c>
      <c r="S45">
        <v>10.5634</v>
      </c>
    </row>
    <row r="46" spans="1:19">
      <c r="A46" t="s">
        <v>20</v>
      </c>
      <c r="B46">
        <v>48.078505749999998</v>
      </c>
      <c r="C46">
        <v>2.3938776819999998</v>
      </c>
      <c r="D46">
        <v>44.901542419999998</v>
      </c>
      <c r="E46">
        <v>51.573794120000002</v>
      </c>
      <c r="F46">
        <v>47.389343609999997</v>
      </c>
      <c r="G46">
        <v>48.44934284</v>
      </c>
      <c r="H46">
        <v>18</v>
      </c>
      <c r="I46">
        <v>80</v>
      </c>
      <c r="J46">
        <v>17</v>
      </c>
      <c r="K46">
        <v>36</v>
      </c>
      <c r="L46">
        <v>13</v>
      </c>
      <c r="M46">
        <v>86</v>
      </c>
      <c r="N46">
        <v>2.3513039999999998</v>
      </c>
      <c r="O46">
        <v>6.6928000000000001</v>
      </c>
      <c r="P46">
        <v>0.24310000000000001</v>
      </c>
      <c r="Q46">
        <v>0.27547199999999999</v>
      </c>
      <c r="R46">
        <v>1.1388000000000001E-2</v>
      </c>
      <c r="S46">
        <v>9.5626759999999997</v>
      </c>
    </row>
    <row r="47" spans="1:19">
      <c r="A47" t="s">
        <v>20</v>
      </c>
      <c r="B47">
        <v>63.651130989999999</v>
      </c>
      <c r="C47">
        <v>1.0896472319999999</v>
      </c>
      <c r="D47">
        <v>62.51614678</v>
      </c>
      <c r="E47">
        <v>64.101641839999999</v>
      </c>
      <c r="F47">
        <v>65.222986169999999</v>
      </c>
      <c r="G47">
        <v>62.763749179999998</v>
      </c>
      <c r="H47">
        <v>17</v>
      </c>
      <c r="I47">
        <v>81</v>
      </c>
      <c r="J47">
        <v>8</v>
      </c>
      <c r="K47">
        <v>16</v>
      </c>
      <c r="L47">
        <v>31</v>
      </c>
      <c r="M47">
        <v>97</v>
      </c>
      <c r="N47">
        <v>2.2206760000000001</v>
      </c>
      <c r="O47">
        <v>6.7764600000000002</v>
      </c>
      <c r="P47">
        <v>0.1144</v>
      </c>
      <c r="Q47">
        <v>0.122432</v>
      </c>
      <c r="R47">
        <v>2.7156E-2</v>
      </c>
      <c r="S47">
        <v>9.2339680000000008</v>
      </c>
    </row>
    <row r="48" spans="1:19">
      <c r="A48" t="s">
        <v>20</v>
      </c>
      <c r="B48">
        <v>28.59449884</v>
      </c>
      <c r="C48">
        <v>2.441071091</v>
      </c>
      <c r="D48">
        <v>26.168396099999999</v>
      </c>
      <c r="E48">
        <v>28.63098068</v>
      </c>
      <c r="F48">
        <v>32.536386180000001</v>
      </c>
      <c r="G48">
        <v>27.0422324</v>
      </c>
      <c r="H48">
        <v>18</v>
      </c>
      <c r="I48">
        <v>88</v>
      </c>
      <c r="J48">
        <v>41</v>
      </c>
      <c r="K48">
        <v>47</v>
      </c>
      <c r="L48">
        <v>29</v>
      </c>
      <c r="M48">
        <v>27</v>
      </c>
      <c r="N48">
        <v>2.3513039999999998</v>
      </c>
      <c r="O48">
        <v>7.3620799999999997</v>
      </c>
      <c r="P48">
        <v>0.58630000000000004</v>
      </c>
      <c r="Q48">
        <v>0.35964400000000002</v>
      </c>
      <c r="R48">
        <v>2.5403999999999999E-2</v>
      </c>
      <c r="S48">
        <v>10.659328</v>
      </c>
    </row>
    <row r="49" spans="1:19">
      <c r="A49" t="s">
        <v>20</v>
      </c>
      <c r="B49">
        <v>37.590605009999997</v>
      </c>
      <c r="C49">
        <v>2.9871869609999999</v>
      </c>
      <c r="D49">
        <v>32.51270521</v>
      </c>
      <c r="E49">
        <v>38.904955819999998</v>
      </c>
      <c r="F49">
        <v>38.731296200000003</v>
      </c>
      <c r="G49">
        <v>40.213462790000001</v>
      </c>
      <c r="H49">
        <v>14</v>
      </c>
      <c r="I49">
        <v>90</v>
      </c>
      <c r="J49">
        <v>31</v>
      </c>
      <c r="K49">
        <v>48</v>
      </c>
      <c r="L49">
        <v>30</v>
      </c>
      <c r="M49">
        <v>37</v>
      </c>
      <c r="N49">
        <v>1.828792</v>
      </c>
      <c r="O49">
        <v>7.5293999999999999</v>
      </c>
      <c r="P49">
        <v>0.44330000000000003</v>
      </c>
      <c r="Q49">
        <v>0.36729600000000001</v>
      </c>
      <c r="R49">
        <v>2.6280000000000001E-2</v>
      </c>
      <c r="S49">
        <v>10.168787999999999</v>
      </c>
    </row>
    <row r="50" spans="1:19">
      <c r="A50" t="s">
        <v>20</v>
      </c>
      <c r="B50">
        <v>42.151902239999998</v>
      </c>
      <c r="C50">
        <v>1.9729492369999999</v>
      </c>
      <c r="D50">
        <v>39.171290859999999</v>
      </c>
      <c r="E50">
        <v>41.672635360000001</v>
      </c>
      <c r="F50">
        <v>43.396560540000003</v>
      </c>
      <c r="G50">
        <v>44.367122209999998</v>
      </c>
      <c r="H50">
        <v>17</v>
      </c>
      <c r="I50">
        <v>87</v>
      </c>
      <c r="J50">
        <v>23</v>
      </c>
      <c r="K50">
        <v>43</v>
      </c>
      <c r="L50">
        <v>10</v>
      </c>
      <c r="M50">
        <v>70</v>
      </c>
      <c r="N50">
        <v>2.2206760000000001</v>
      </c>
      <c r="O50">
        <v>7.2784199999999997</v>
      </c>
      <c r="P50">
        <v>0.32890000000000003</v>
      </c>
      <c r="Q50">
        <v>0.329036</v>
      </c>
      <c r="R50">
        <v>8.7600000000000004E-3</v>
      </c>
      <c r="S50">
        <v>10.157031999999999</v>
      </c>
    </row>
    <row r="51" spans="1:19">
      <c r="A51" t="s">
        <v>20</v>
      </c>
      <c r="B51">
        <v>47.912548749999999</v>
      </c>
      <c r="C51">
        <v>1.5301160579999999</v>
      </c>
      <c r="D51">
        <v>46.007363740000002</v>
      </c>
      <c r="E51">
        <v>48.266053380000002</v>
      </c>
      <c r="F51">
        <v>47.204059260000001</v>
      </c>
      <c r="G51">
        <v>50.172718609999997</v>
      </c>
      <c r="H51">
        <v>17</v>
      </c>
      <c r="I51">
        <v>92</v>
      </c>
      <c r="J51">
        <v>18</v>
      </c>
      <c r="K51">
        <v>49</v>
      </c>
      <c r="L51">
        <v>15</v>
      </c>
      <c r="M51">
        <v>59</v>
      </c>
      <c r="N51">
        <v>2.2206760000000001</v>
      </c>
      <c r="O51">
        <v>7.69672</v>
      </c>
      <c r="P51">
        <v>0.25740000000000002</v>
      </c>
      <c r="Q51">
        <v>0.374948</v>
      </c>
      <c r="R51">
        <v>1.3140000000000001E-2</v>
      </c>
      <c r="S51">
        <v>10.549744</v>
      </c>
    </row>
    <row r="52" spans="1:19">
      <c r="A52" t="s">
        <v>20</v>
      </c>
      <c r="B52">
        <v>46.452336969999998</v>
      </c>
      <c r="C52">
        <v>2.752506795</v>
      </c>
      <c r="D52">
        <v>41.936366450000001</v>
      </c>
      <c r="E52">
        <v>47.392934230000002</v>
      </c>
      <c r="F52">
        <v>47.092239960000001</v>
      </c>
      <c r="G52">
        <v>49.387807250000002</v>
      </c>
      <c r="H52">
        <v>18</v>
      </c>
      <c r="I52">
        <v>85</v>
      </c>
      <c r="J52">
        <v>31</v>
      </c>
      <c r="K52">
        <v>33</v>
      </c>
      <c r="L52">
        <v>18</v>
      </c>
      <c r="M52">
        <v>65</v>
      </c>
      <c r="N52">
        <v>2.3513039999999998</v>
      </c>
      <c r="O52">
        <v>7.1111000000000004</v>
      </c>
      <c r="P52">
        <v>0.44330000000000003</v>
      </c>
      <c r="Q52">
        <v>0.25251600000000002</v>
      </c>
      <c r="R52">
        <v>1.5768000000000001E-2</v>
      </c>
      <c r="S52">
        <v>10.15822</v>
      </c>
    </row>
    <row r="53" spans="1:19">
      <c r="A53" t="s">
        <v>20</v>
      </c>
      <c r="B53">
        <v>65.465170860000001</v>
      </c>
      <c r="C53">
        <v>2.0420755850000001</v>
      </c>
      <c r="D53">
        <v>65.511891500000004</v>
      </c>
      <c r="E53">
        <v>68.752188610000005</v>
      </c>
      <c r="F53">
        <v>64.196244230000005</v>
      </c>
      <c r="G53">
        <v>63.400359119999997</v>
      </c>
      <c r="H53">
        <v>10</v>
      </c>
      <c r="I53">
        <v>87</v>
      </c>
      <c r="J53">
        <v>17</v>
      </c>
      <c r="K53">
        <v>33</v>
      </c>
      <c r="L53">
        <v>37</v>
      </c>
      <c r="M53">
        <v>66</v>
      </c>
      <c r="N53">
        <v>1.3062800000000001</v>
      </c>
      <c r="O53">
        <v>7.2784199999999997</v>
      </c>
      <c r="P53">
        <v>0.24310000000000001</v>
      </c>
      <c r="Q53">
        <v>0.25251600000000002</v>
      </c>
      <c r="R53">
        <v>3.2412000000000003E-2</v>
      </c>
      <c r="S53">
        <v>9.0803159999999998</v>
      </c>
    </row>
    <row r="54" spans="1:19">
      <c r="A54" t="s">
        <v>20</v>
      </c>
      <c r="B54">
        <v>44.025180159999998</v>
      </c>
      <c r="C54">
        <v>2.5477822080000001</v>
      </c>
      <c r="D54">
        <v>43.532041659999997</v>
      </c>
      <c r="E54">
        <v>42.011782689999997</v>
      </c>
      <c r="F54">
        <v>42.234892619999997</v>
      </c>
      <c r="G54">
        <v>48.322003670000001</v>
      </c>
      <c r="H54">
        <v>18</v>
      </c>
      <c r="I54">
        <v>85</v>
      </c>
      <c r="J54">
        <v>32</v>
      </c>
      <c r="K54">
        <v>45</v>
      </c>
      <c r="L54">
        <v>21</v>
      </c>
      <c r="M54">
        <v>49</v>
      </c>
      <c r="N54">
        <v>2.3513039999999998</v>
      </c>
      <c r="O54">
        <v>7.1111000000000004</v>
      </c>
      <c r="P54">
        <v>0.45760000000000001</v>
      </c>
      <c r="Q54">
        <v>0.34433999999999998</v>
      </c>
      <c r="R54">
        <v>1.8395999999999999E-2</v>
      </c>
      <c r="S54">
        <v>10.264343999999999</v>
      </c>
    </row>
    <row r="55" spans="1:19">
      <c r="A55" t="s">
        <v>20</v>
      </c>
      <c r="B55">
        <v>45.581887799999997</v>
      </c>
      <c r="C55">
        <v>0.62297704200000004</v>
      </c>
      <c r="D55">
        <v>45.04715307</v>
      </c>
      <c r="E55">
        <v>45.054828809999997</v>
      </c>
      <c r="F55">
        <v>45.651825770000002</v>
      </c>
      <c r="G55">
        <v>46.573743559999997</v>
      </c>
      <c r="H55">
        <v>11</v>
      </c>
      <c r="I55">
        <v>112</v>
      </c>
      <c r="J55">
        <v>16</v>
      </c>
      <c r="K55">
        <v>45</v>
      </c>
      <c r="L55">
        <v>21</v>
      </c>
      <c r="M55">
        <v>45</v>
      </c>
      <c r="N55">
        <v>1.4369080000000001</v>
      </c>
      <c r="O55">
        <v>9.3699200000000005</v>
      </c>
      <c r="P55">
        <v>0.2288</v>
      </c>
      <c r="Q55">
        <v>0.34433999999999998</v>
      </c>
      <c r="R55">
        <v>1.8395999999999999E-2</v>
      </c>
      <c r="S55">
        <v>11.379968</v>
      </c>
    </row>
    <row r="56" spans="1:19">
      <c r="A56" t="s">
        <v>20</v>
      </c>
      <c r="B56">
        <v>42.857142670000002</v>
      </c>
      <c r="C56">
        <v>1.589563265</v>
      </c>
      <c r="D56">
        <v>45.327898980000001</v>
      </c>
      <c r="E56">
        <v>41.644870099999999</v>
      </c>
      <c r="F56">
        <v>41.29497173</v>
      </c>
      <c r="G56">
        <v>43.160829880000001</v>
      </c>
      <c r="H56">
        <v>17</v>
      </c>
      <c r="I56">
        <v>93</v>
      </c>
      <c r="J56">
        <v>10</v>
      </c>
      <c r="K56">
        <v>17</v>
      </c>
      <c r="L56">
        <v>7</v>
      </c>
      <c r="M56">
        <v>106</v>
      </c>
      <c r="N56">
        <v>2.2206760000000001</v>
      </c>
      <c r="O56">
        <v>7.7803800000000001</v>
      </c>
      <c r="P56">
        <v>0.14299999999999999</v>
      </c>
      <c r="Q56">
        <v>0.13008400000000001</v>
      </c>
      <c r="R56">
        <v>6.1320000000000003E-3</v>
      </c>
      <c r="S56">
        <v>10.274139999999999</v>
      </c>
    </row>
    <row r="57" spans="1:19">
      <c r="A57" t="s">
        <v>20</v>
      </c>
      <c r="B57">
        <v>26.444892039999999</v>
      </c>
      <c r="C57">
        <v>0.32771286599999999</v>
      </c>
      <c r="D57">
        <v>26.079496939999999</v>
      </c>
      <c r="E57">
        <v>26.193072430000001</v>
      </c>
      <c r="F57">
        <v>26.608276790000001</v>
      </c>
      <c r="G57">
        <v>26.898721989999999</v>
      </c>
      <c r="H57">
        <v>19</v>
      </c>
      <c r="I57">
        <v>83</v>
      </c>
      <c r="J57">
        <v>44</v>
      </c>
      <c r="K57">
        <v>43</v>
      </c>
      <c r="L57">
        <v>5</v>
      </c>
      <c r="M57">
        <v>56</v>
      </c>
      <c r="N57">
        <v>2.481932</v>
      </c>
      <c r="O57">
        <v>6.9437800000000003</v>
      </c>
      <c r="P57">
        <v>0.62919999999999998</v>
      </c>
      <c r="Q57">
        <v>0.329036</v>
      </c>
      <c r="R57">
        <v>4.3800000000000002E-3</v>
      </c>
      <c r="S57">
        <v>10.383948</v>
      </c>
    </row>
    <row r="58" spans="1:19">
      <c r="A58" t="s">
        <v>20</v>
      </c>
      <c r="B58">
        <v>28.848033399999998</v>
      </c>
      <c r="C58">
        <v>2.4160487420000001</v>
      </c>
      <c r="D58">
        <v>29.214066460000002</v>
      </c>
      <c r="E58">
        <v>25.12159217</v>
      </c>
      <c r="F58">
        <v>29.171283160000002</v>
      </c>
      <c r="G58">
        <v>31.885191809999998</v>
      </c>
      <c r="H58">
        <v>17</v>
      </c>
      <c r="I58">
        <v>91</v>
      </c>
      <c r="J58">
        <v>40</v>
      </c>
      <c r="K58">
        <v>18</v>
      </c>
      <c r="L58">
        <v>38</v>
      </c>
      <c r="M58">
        <v>46</v>
      </c>
      <c r="N58">
        <v>2.2206760000000001</v>
      </c>
      <c r="O58">
        <v>7.6130599999999999</v>
      </c>
      <c r="P58">
        <v>0.57199999999999995</v>
      </c>
      <c r="Q58">
        <v>0.137736</v>
      </c>
      <c r="R58">
        <v>3.3287999999999998E-2</v>
      </c>
      <c r="S58">
        <v>10.543472</v>
      </c>
    </row>
    <row r="59" spans="1:19">
      <c r="A59" t="s">
        <v>20</v>
      </c>
      <c r="B59">
        <v>30.934279050000001</v>
      </c>
      <c r="C59">
        <v>1.4811404210000001</v>
      </c>
      <c r="D59">
        <v>32.896702769999997</v>
      </c>
      <c r="E59">
        <v>28.7648063</v>
      </c>
      <c r="F59">
        <v>30.724790590000001</v>
      </c>
      <c r="G59">
        <v>31.35081654</v>
      </c>
      <c r="H59">
        <v>18</v>
      </c>
      <c r="I59">
        <v>90</v>
      </c>
      <c r="J59">
        <v>15</v>
      </c>
      <c r="K59">
        <v>48</v>
      </c>
      <c r="L59">
        <v>40</v>
      </c>
      <c r="M59">
        <v>39</v>
      </c>
      <c r="N59">
        <v>2.3513039999999998</v>
      </c>
      <c r="O59">
        <v>7.5293999999999999</v>
      </c>
      <c r="P59">
        <v>0.2145</v>
      </c>
      <c r="Q59">
        <v>0.36729600000000001</v>
      </c>
      <c r="R59">
        <v>3.5040000000000002E-2</v>
      </c>
      <c r="S59">
        <v>10.4625</v>
      </c>
    </row>
    <row r="60" spans="1:19">
      <c r="A60" t="s">
        <v>20</v>
      </c>
      <c r="B60">
        <v>38.546559129999999</v>
      </c>
      <c r="C60">
        <v>0.54136498899999996</v>
      </c>
      <c r="D60">
        <v>38.754797439999997</v>
      </c>
      <c r="E60">
        <v>38.07520195</v>
      </c>
      <c r="F60">
        <v>39.338477429999998</v>
      </c>
      <c r="G60">
        <v>38.01775971</v>
      </c>
      <c r="H60">
        <v>14</v>
      </c>
      <c r="I60">
        <v>78</v>
      </c>
      <c r="J60">
        <v>25</v>
      </c>
      <c r="K60">
        <v>47</v>
      </c>
      <c r="L60">
        <v>14</v>
      </c>
      <c r="M60">
        <v>72</v>
      </c>
      <c r="N60">
        <v>1.828792</v>
      </c>
      <c r="O60">
        <v>6.5254799999999999</v>
      </c>
      <c r="P60">
        <v>0.35749999999999998</v>
      </c>
      <c r="Q60">
        <v>0.35964400000000002</v>
      </c>
      <c r="R60">
        <v>1.2264000000000001E-2</v>
      </c>
      <c r="S60">
        <v>9.0714159999999993</v>
      </c>
    </row>
    <row r="61" spans="1:19">
      <c r="A61" t="s">
        <v>20</v>
      </c>
      <c r="B61">
        <v>36.974318660000002</v>
      </c>
      <c r="C61">
        <v>1.3834922409999999</v>
      </c>
      <c r="D61">
        <v>37.577382129999997</v>
      </c>
      <c r="E61">
        <v>35.044576880000001</v>
      </c>
      <c r="F61">
        <v>36.47822335</v>
      </c>
      <c r="G61">
        <v>38.797092280000001</v>
      </c>
      <c r="H61">
        <v>17</v>
      </c>
      <c r="I61">
        <v>87</v>
      </c>
      <c r="J61">
        <v>14</v>
      </c>
      <c r="K61">
        <v>41</v>
      </c>
      <c r="L61">
        <v>19</v>
      </c>
      <c r="M61">
        <v>72</v>
      </c>
      <c r="N61">
        <v>2.2206760000000001</v>
      </c>
      <c r="O61">
        <v>7.2784199999999997</v>
      </c>
      <c r="P61">
        <v>0.20019999999999999</v>
      </c>
      <c r="Q61">
        <v>0.31373200000000001</v>
      </c>
      <c r="R61">
        <v>1.6643999999999999E-2</v>
      </c>
      <c r="S61">
        <v>10.013028</v>
      </c>
    </row>
    <row r="62" spans="1:19">
      <c r="A62" t="s">
        <v>20</v>
      </c>
      <c r="B62">
        <v>36.627929190000003</v>
      </c>
      <c r="C62">
        <v>0.46009262499999998</v>
      </c>
      <c r="D62">
        <v>37.10804177</v>
      </c>
      <c r="E62">
        <v>35.879073839999997</v>
      </c>
      <c r="F62">
        <v>36.66397173</v>
      </c>
      <c r="G62">
        <v>36.860629430000003</v>
      </c>
      <c r="H62">
        <v>13</v>
      </c>
      <c r="I62">
        <v>102</v>
      </c>
      <c r="J62">
        <v>23</v>
      </c>
      <c r="K62">
        <v>32</v>
      </c>
      <c r="L62">
        <v>31</v>
      </c>
      <c r="M62">
        <v>49</v>
      </c>
      <c r="N62">
        <v>1.698164</v>
      </c>
      <c r="O62">
        <v>8.5333199999999998</v>
      </c>
      <c r="P62">
        <v>0.32890000000000003</v>
      </c>
      <c r="Q62">
        <v>0.244864</v>
      </c>
      <c r="R62">
        <v>2.7156E-2</v>
      </c>
      <c r="S62">
        <v>10.805248000000001</v>
      </c>
    </row>
    <row r="63" spans="1:19">
      <c r="A63" t="s">
        <v>20</v>
      </c>
      <c r="B63">
        <v>40.867234230000001</v>
      </c>
      <c r="C63">
        <v>0.54261162900000004</v>
      </c>
      <c r="D63">
        <v>41.349767040000003</v>
      </c>
      <c r="E63">
        <v>40.463207850000003</v>
      </c>
      <c r="F63">
        <v>40.204060890000001</v>
      </c>
      <c r="G63">
        <v>41.451901159999998</v>
      </c>
      <c r="H63">
        <v>16</v>
      </c>
      <c r="I63">
        <v>89</v>
      </c>
      <c r="J63">
        <v>15</v>
      </c>
      <c r="K63">
        <v>36</v>
      </c>
      <c r="L63">
        <v>22</v>
      </c>
      <c r="M63">
        <v>72</v>
      </c>
      <c r="N63">
        <v>2.0900479999999999</v>
      </c>
      <c r="O63">
        <v>7.4457399999999998</v>
      </c>
      <c r="P63">
        <v>0.2145</v>
      </c>
      <c r="Q63">
        <v>0.27547199999999999</v>
      </c>
      <c r="R63">
        <v>1.9272000000000001E-2</v>
      </c>
      <c r="S63">
        <v>10.02576</v>
      </c>
    </row>
    <row r="64" spans="1:19">
      <c r="A64" t="s">
        <v>20</v>
      </c>
      <c r="B64">
        <v>37.11284405</v>
      </c>
      <c r="C64">
        <v>0.78741801700000003</v>
      </c>
      <c r="D64">
        <v>35.779141379999999</v>
      </c>
      <c r="E64">
        <v>37.805974380000002</v>
      </c>
      <c r="F64">
        <v>37.344390099999998</v>
      </c>
      <c r="G64">
        <v>37.521870319999998</v>
      </c>
      <c r="H64">
        <v>16</v>
      </c>
      <c r="I64">
        <v>87</v>
      </c>
      <c r="J64">
        <v>26</v>
      </c>
      <c r="K64">
        <v>46</v>
      </c>
      <c r="L64">
        <v>31</v>
      </c>
      <c r="M64">
        <v>44</v>
      </c>
      <c r="N64">
        <v>2.0900479999999999</v>
      </c>
      <c r="O64">
        <v>7.2784199999999997</v>
      </c>
      <c r="P64">
        <v>0.37180000000000002</v>
      </c>
      <c r="Q64">
        <v>0.35199200000000003</v>
      </c>
      <c r="R64">
        <v>2.7156E-2</v>
      </c>
      <c r="S64">
        <v>10.09226</v>
      </c>
    </row>
    <row r="65" spans="1:19">
      <c r="A65" t="s">
        <v>20</v>
      </c>
      <c r="B65">
        <v>57.50176819</v>
      </c>
      <c r="C65">
        <v>1.3065066540000001</v>
      </c>
      <c r="D65">
        <v>59.046516599999997</v>
      </c>
      <c r="E65">
        <v>55.47375847</v>
      </c>
      <c r="F65">
        <v>58.06897274</v>
      </c>
      <c r="G65">
        <v>57.417824950000004</v>
      </c>
      <c r="H65">
        <v>17</v>
      </c>
      <c r="I65">
        <v>73</v>
      </c>
      <c r="J65">
        <v>5</v>
      </c>
      <c r="K65">
        <v>25</v>
      </c>
      <c r="L65">
        <v>28</v>
      </c>
      <c r="M65">
        <v>102</v>
      </c>
      <c r="N65">
        <v>2.2206760000000001</v>
      </c>
      <c r="O65">
        <v>6.1071799999999996</v>
      </c>
      <c r="P65">
        <v>7.1499999999999994E-2</v>
      </c>
      <c r="Q65">
        <v>0.1913</v>
      </c>
      <c r="R65">
        <v>2.4528000000000001E-2</v>
      </c>
      <c r="S65">
        <v>8.5906559999999992</v>
      </c>
    </row>
    <row r="66" spans="1:19">
      <c r="A66" t="s">
        <v>20</v>
      </c>
      <c r="B66">
        <v>35.072682380000003</v>
      </c>
      <c r="C66">
        <v>2.3118099640000001</v>
      </c>
      <c r="D66">
        <v>32.742170829999999</v>
      </c>
      <c r="E66">
        <v>32.802675610000001</v>
      </c>
      <c r="F66">
        <v>37.047932260000003</v>
      </c>
      <c r="G66">
        <v>37.697950810000002</v>
      </c>
      <c r="H66">
        <v>17</v>
      </c>
      <c r="I66">
        <v>89</v>
      </c>
      <c r="J66">
        <v>41</v>
      </c>
      <c r="K66">
        <v>40</v>
      </c>
      <c r="L66">
        <v>24</v>
      </c>
      <c r="M66">
        <v>39</v>
      </c>
      <c r="N66">
        <v>2.2206760000000001</v>
      </c>
      <c r="O66">
        <v>7.4457399999999998</v>
      </c>
      <c r="P66">
        <v>0.58630000000000004</v>
      </c>
      <c r="Q66">
        <v>0.30608000000000002</v>
      </c>
      <c r="R66">
        <v>2.1024000000000001E-2</v>
      </c>
      <c r="S66">
        <v>10.558795999999999</v>
      </c>
    </row>
    <row r="67" spans="1:19">
      <c r="A67" t="s">
        <v>20</v>
      </c>
      <c r="B67">
        <v>32.888100080000001</v>
      </c>
      <c r="C67">
        <v>1.6756071589999999</v>
      </c>
      <c r="D67">
        <v>29.994614739999999</v>
      </c>
      <c r="E67">
        <v>34.002775839999998</v>
      </c>
      <c r="F67">
        <v>33.647512120000002</v>
      </c>
      <c r="G67">
        <v>33.90749761</v>
      </c>
      <c r="H67">
        <v>13</v>
      </c>
      <c r="I67">
        <v>100</v>
      </c>
      <c r="J67">
        <v>24</v>
      </c>
      <c r="K67">
        <v>33</v>
      </c>
      <c r="L67">
        <v>24</v>
      </c>
      <c r="M67">
        <v>56</v>
      </c>
      <c r="N67">
        <v>1.698164</v>
      </c>
      <c r="O67">
        <v>8.3659999999999997</v>
      </c>
      <c r="P67">
        <v>0.34320000000000001</v>
      </c>
      <c r="Q67">
        <v>0.25251600000000002</v>
      </c>
      <c r="R67">
        <v>2.1024000000000001E-2</v>
      </c>
      <c r="S67">
        <v>10.659879999999999</v>
      </c>
    </row>
    <row r="68" spans="1:19">
      <c r="A68" t="s">
        <v>20</v>
      </c>
      <c r="B68">
        <v>50.715799390000001</v>
      </c>
      <c r="C68">
        <v>1.3262923550000001</v>
      </c>
      <c r="D68">
        <v>49.128538319999997</v>
      </c>
      <c r="E68">
        <v>50.419238309999997</v>
      </c>
      <c r="F68">
        <v>50.505654370000002</v>
      </c>
      <c r="G68">
        <v>52.809766570000001</v>
      </c>
      <c r="H68">
        <v>19</v>
      </c>
      <c r="I68">
        <v>5</v>
      </c>
      <c r="J68">
        <v>49</v>
      </c>
      <c r="K68">
        <v>49</v>
      </c>
      <c r="L68">
        <v>49</v>
      </c>
      <c r="M68">
        <v>79</v>
      </c>
      <c r="N68">
        <v>2.481932</v>
      </c>
      <c r="O68">
        <v>0.41830000000000001</v>
      </c>
      <c r="P68">
        <v>0.70069999999999999</v>
      </c>
      <c r="Q68">
        <v>0.374948</v>
      </c>
      <c r="R68">
        <v>4.2923999999999997E-2</v>
      </c>
      <c r="S68">
        <v>3.9758800000000001</v>
      </c>
    </row>
    <row r="69" spans="1:19">
      <c r="A69" t="s">
        <v>20</v>
      </c>
      <c r="B69">
        <v>35.061945199999997</v>
      </c>
      <c r="C69">
        <v>1.4057650639999999</v>
      </c>
      <c r="D69">
        <v>34.444417319999999</v>
      </c>
      <c r="E69">
        <v>37.475720719999998</v>
      </c>
      <c r="F69">
        <v>33.959131470000003</v>
      </c>
      <c r="G69">
        <v>34.36851128</v>
      </c>
      <c r="H69">
        <v>18</v>
      </c>
      <c r="I69">
        <v>93</v>
      </c>
      <c r="J69">
        <v>24</v>
      </c>
      <c r="K69">
        <v>48</v>
      </c>
      <c r="L69">
        <v>31</v>
      </c>
      <c r="M69">
        <v>36</v>
      </c>
      <c r="N69">
        <v>2.3513039999999998</v>
      </c>
      <c r="O69">
        <v>7.7803800000000001</v>
      </c>
      <c r="P69">
        <v>0.34320000000000001</v>
      </c>
      <c r="Q69">
        <v>0.36729600000000001</v>
      </c>
      <c r="R69">
        <v>2.7156E-2</v>
      </c>
      <c r="S69">
        <v>10.842180000000001</v>
      </c>
    </row>
    <row r="70" spans="1:19">
      <c r="A70" t="s">
        <v>20</v>
      </c>
      <c r="B70">
        <v>51.714173899999999</v>
      </c>
      <c r="C70">
        <v>3.7802871480000002</v>
      </c>
      <c r="D70">
        <v>45.662555509999997</v>
      </c>
      <c r="E70">
        <v>54.313924229999998</v>
      </c>
      <c r="F70">
        <v>55.41796033</v>
      </c>
      <c r="G70">
        <v>51.46225553</v>
      </c>
      <c r="H70">
        <v>17</v>
      </c>
      <c r="I70">
        <v>85</v>
      </c>
      <c r="J70">
        <v>15</v>
      </c>
      <c r="K70">
        <v>34</v>
      </c>
      <c r="L70">
        <v>24</v>
      </c>
      <c r="M70">
        <v>75</v>
      </c>
      <c r="N70">
        <v>2.2206760000000001</v>
      </c>
      <c r="O70">
        <v>7.1111000000000004</v>
      </c>
      <c r="P70">
        <v>0.2145</v>
      </c>
      <c r="Q70">
        <v>0.26016800000000001</v>
      </c>
      <c r="R70">
        <v>2.1024000000000001E-2</v>
      </c>
      <c r="S70">
        <v>9.8064440000000008</v>
      </c>
    </row>
    <row r="71" spans="1:19">
      <c r="A71" t="s">
        <v>20</v>
      </c>
      <c r="B71">
        <v>43.14550672</v>
      </c>
      <c r="C71">
        <v>1.2703636229999999</v>
      </c>
      <c r="D71">
        <v>41.337835069999997</v>
      </c>
      <c r="E71">
        <v>44.298324800000003</v>
      </c>
      <c r="F71">
        <v>44.379634129999999</v>
      </c>
      <c r="G71">
        <v>42.566232890000002</v>
      </c>
      <c r="H71">
        <v>17</v>
      </c>
      <c r="I71">
        <v>90</v>
      </c>
      <c r="J71">
        <v>36</v>
      </c>
      <c r="K71">
        <v>39</v>
      </c>
      <c r="L71">
        <v>37</v>
      </c>
      <c r="M71">
        <v>31</v>
      </c>
      <c r="N71">
        <v>2.2206760000000001</v>
      </c>
      <c r="O71">
        <v>7.5293999999999999</v>
      </c>
      <c r="P71">
        <v>0.51480000000000004</v>
      </c>
      <c r="Q71">
        <v>0.29842800000000003</v>
      </c>
      <c r="R71">
        <v>3.2412000000000003E-2</v>
      </c>
      <c r="S71">
        <v>10.563304</v>
      </c>
    </row>
    <row r="72" spans="1:19">
      <c r="A72" t="s">
        <v>20</v>
      </c>
      <c r="B72">
        <v>48.784774630000001</v>
      </c>
      <c r="C72">
        <v>2.8262294049999999</v>
      </c>
      <c r="D72">
        <v>44.312621999999998</v>
      </c>
      <c r="E72">
        <v>48.69984015</v>
      </c>
      <c r="F72">
        <v>51.946326130000003</v>
      </c>
      <c r="G72">
        <v>50.180310259999999</v>
      </c>
      <c r="H72">
        <v>17</v>
      </c>
      <c r="I72">
        <v>91</v>
      </c>
      <c r="J72">
        <v>30</v>
      </c>
      <c r="K72">
        <v>28</v>
      </c>
      <c r="L72">
        <v>32</v>
      </c>
      <c r="M72">
        <v>52</v>
      </c>
      <c r="N72">
        <v>2.2206760000000001</v>
      </c>
      <c r="O72">
        <v>7.6130599999999999</v>
      </c>
      <c r="P72">
        <v>0.42899999999999999</v>
      </c>
      <c r="Q72">
        <v>0.214256</v>
      </c>
      <c r="R72">
        <v>2.8032000000000001E-2</v>
      </c>
      <c r="S72">
        <v>10.476991999999999</v>
      </c>
    </row>
    <row r="73" spans="1:19">
      <c r="A73" t="s">
        <v>20</v>
      </c>
      <c r="B73">
        <v>49.830029459999999</v>
      </c>
      <c r="C73">
        <v>0.81848744200000001</v>
      </c>
      <c r="D73">
        <v>50.284371870000001</v>
      </c>
      <c r="E73">
        <v>50.532931499999997</v>
      </c>
      <c r="F73">
        <v>50.060598550000002</v>
      </c>
      <c r="G73">
        <v>48.442215939999997</v>
      </c>
      <c r="H73">
        <v>13</v>
      </c>
      <c r="I73">
        <v>104</v>
      </c>
      <c r="J73">
        <v>23</v>
      </c>
      <c r="K73">
        <v>31</v>
      </c>
      <c r="L73">
        <v>47</v>
      </c>
      <c r="M73">
        <v>32</v>
      </c>
      <c r="N73">
        <v>1.698164</v>
      </c>
      <c r="O73">
        <v>8.7006399999999999</v>
      </c>
      <c r="P73">
        <v>0.32890000000000003</v>
      </c>
      <c r="Q73">
        <v>0.23721200000000001</v>
      </c>
      <c r="R73">
        <v>4.1172E-2</v>
      </c>
      <c r="S73">
        <v>10.964916000000001</v>
      </c>
    </row>
    <row r="74" spans="1:19">
      <c r="A74" t="s">
        <v>20</v>
      </c>
      <c r="B74">
        <v>54.761498539999998</v>
      </c>
      <c r="C74">
        <v>0.68610977799999995</v>
      </c>
      <c r="D74">
        <v>55.744763599999999</v>
      </c>
      <c r="E74">
        <v>54.975349540000003</v>
      </c>
      <c r="F74">
        <v>54.440339760000001</v>
      </c>
      <c r="G74">
        <v>53.885541279999998</v>
      </c>
      <c r="H74">
        <v>18</v>
      </c>
      <c r="I74">
        <v>83</v>
      </c>
      <c r="J74">
        <v>26</v>
      </c>
      <c r="K74">
        <v>43</v>
      </c>
      <c r="L74">
        <v>10</v>
      </c>
      <c r="M74">
        <v>70</v>
      </c>
      <c r="N74">
        <v>2.3513039999999998</v>
      </c>
      <c r="O74">
        <v>6.9437800000000003</v>
      </c>
      <c r="P74">
        <v>0.37180000000000002</v>
      </c>
      <c r="Q74">
        <v>0.329036</v>
      </c>
      <c r="R74">
        <v>8.7600000000000004E-3</v>
      </c>
      <c r="S74">
        <v>9.9959199999999999</v>
      </c>
    </row>
    <row r="75" spans="1:19">
      <c r="A75" t="s">
        <v>20</v>
      </c>
      <c r="B75">
        <v>65.826000660000005</v>
      </c>
      <c r="C75">
        <v>2.7462630790000002</v>
      </c>
      <c r="D75">
        <v>70.541754069999996</v>
      </c>
      <c r="E75">
        <v>63.735700829999999</v>
      </c>
      <c r="F75">
        <v>64.751660920000006</v>
      </c>
      <c r="G75">
        <v>64.27488683</v>
      </c>
      <c r="H75">
        <v>16</v>
      </c>
      <c r="I75">
        <v>73</v>
      </c>
      <c r="J75">
        <v>27</v>
      </c>
      <c r="K75">
        <v>27</v>
      </c>
      <c r="L75">
        <v>39</v>
      </c>
      <c r="M75">
        <v>68</v>
      </c>
      <c r="N75">
        <v>2.0900479999999999</v>
      </c>
      <c r="O75">
        <v>6.1071799999999996</v>
      </c>
      <c r="P75">
        <v>0.3861</v>
      </c>
      <c r="Q75">
        <v>0.20660400000000001</v>
      </c>
      <c r="R75">
        <v>3.4164E-2</v>
      </c>
      <c r="S75">
        <v>8.7899320000000003</v>
      </c>
    </row>
    <row r="76" spans="1:19">
      <c r="A76" t="s">
        <v>20</v>
      </c>
      <c r="B76">
        <v>53.32955776</v>
      </c>
      <c r="C76">
        <v>0.52289074800000002</v>
      </c>
      <c r="D76">
        <v>54.196223439999997</v>
      </c>
      <c r="E76">
        <v>53.239008839999997</v>
      </c>
      <c r="F76">
        <v>53.070285650000002</v>
      </c>
      <c r="G76">
        <v>52.812713100000003</v>
      </c>
      <c r="H76">
        <v>13</v>
      </c>
      <c r="I76">
        <v>104</v>
      </c>
      <c r="J76">
        <v>25</v>
      </c>
      <c r="K76">
        <v>31</v>
      </c>
      <c r="L76">
        <v>22</v>
      </c>
      <c r="M76">
        <v>55</v>
      </c>
      <c r="N76">
        <v>1.698164</v>
      </c>
      <c r="O76">
        <v>8.7006399999999999</v>
      </c>
      <c r="P76">
        <v>0.35749999999999998</v>
      </c>
      <c r="Q76">
        <v>0.23721200000000001</v>
      </c>
      <c r="R76">
        <v>1.9272000000000001E-2</v>
      </c>
      <c r="S76">
        <v>10.993516</v>
      </c>
    </row>
    <row r="77" spans="1:19">
      <c r="A77" t="s">
        <v>20</v>
      </c>
      <c r="B77">
        <v>92.58955795</v>
      </c>
      <c r="C77">
        <v>1.467816655</v>
      </c>
      <c r="D77">
        <v>93.23397817</v>
      </c>
      <c r="E77">
        <v>94.53675629</v>
      </c>
      <c r="F77">
        <v>90.568200329999996</v>
      </c>
      <c r="G77">
        <v>92.019297030000004</v>
      </c>
      <c r="H77">
        <v>12</v>
      </c>
      <c r="I77">
        <v>52</v>
      </c>
      <c r="J77">
        <v>5</v>
      </c>
      <c r="K77">
        <v>15</v>
      </c>
      <c r="L77">
        <v>12</v>
      </c>
      <c r="M77">
        <v>154</v>
      </c>
      <c r="N77">
        <v>1.567536</v>
      </c>
      <c r="O77">
        <v>4.35032</v>
      </c>
      <c r="P77">
        <v>7.1499999999999994E-2</v>
      </c>
      <c r="Q77">
        <v>0.11477999999999999</v>
      </c>
      <c r="R77">
        <v>1.0512000000000001E-2</v>
      </c>
      <c r="S77">
        <v>6.1041359999999996</v>
      </c>
    </row>
    <row r="78" spans="1:19">
      <c r="A78" t="s">
        <v>20</v>
      </c>
      <c r="B78">
        <v>52.809351210000003</v>
      </c>
      <c r="C78">
        <v>3.3606710930000001</v>
      </c>
      <c r="D78">
        <v>58.609240470000003</v>
      </c>
      <c r="E78">
        <v>51.277414039999996</v>
      </c>
      <c r="F78">
        <v>50.879319160000001</v>
      </c>
      <c r="G78">
        <v>50.471431170000002</v>
      </c>
      <c r="H78">
        <v>17</v>
      </c>
      <c r="I78">
        <v>88</v>
      </c>
      <c r="J78">
        <v>12</v>
      </c>
      <c r="K78">
        <v>17</v>
      </c>
      <c r="L78">
        <v>10</v>
      </c>
      <c r="M78">
        <v>106</v>
      </c>
      <c r="N78">
        <v>2.2206760000000001</v>
      </c>
      <c r="O78">
        <v>7.3620799999999997</v>
      </c>
      <c r="P78">
        <v>0.1716</v>
      </c>
      <c r="Q78">
        <v>0.13008400000000001</v>
      </c>
      <c r="R78">
        <v>8.7600000000000004E-3</v>
      </c>
      <c r="S78">
        <v>9.8844399999999997</v>
      </c>
    </row>
    <row r="79" spans="1:19">
      <c r="A79" t="s">
        <v>20</v>
      </c>
      <c r="B79">
        <v>49.64878418</v>
      </c>
      <c r="C79">
        <v>2.4460342339999999</v>
      </c>
      <c r="D79">
        <v>48.490693010000001</v>
      </c>
      <c r="E79">
        <v>46.670060419999999</v>
      </c>
      <c r="F79">
        <v>50.110682279999999</v>
      </c>
      <c r="G79">
        <v>53.323701</v>
      </c>
      <c r="H79">
        <v>12</v>
      </c>
      <c r="I79">
        <v>65</v>
      </c>
      <c r="J79">
        <v>32</v>
      </c>
      <c r="K79">
        <v>33</v>
      </c>
      <c r="L79">
        <v>32</v>
      </c>
      <c r="M79">
        <v>76</v>
      </c>
      <c r="N79">
        <v>1.567536</v>
      </c>
      <c r="O79">
        <v>5.4379</v>
      </c>
      <c r="P79">
        <v>0.45760000000000001</v>
      </c>
      <c r="Q79">
        <v>0.25251600000000002</v>
      </c>
      <c r="R79">
        <v>2.8032000000000001E-2</v>
      </c>
      <c r="S79">
        <v>7.7155519999999997</v>
      </c>
    </row>
    <row r="80" spans="1:19">
      <c r="A80" t="s">
        <v>20</v>
      </c>
      <c r="B80">
        <v>44.295467360000004</v>
      </c>
      <c r="C80">
        <v>1.7066542419999999</v>
      </c>
      <c r="D80">
        <v>45.806248429999997</v>
      </c>
      <c r="E80">
        <v>44.405086420000003</v>
      </c>
      <c r="F80">
        <v>45.49067883</v>
      </c>
      <c r="G80">
        <v>41.479855780000001</v>
      </c>
      <c r="H80">
        <v>14</v>
      </c>
      <c r="I80">
        <v>93</v>
      </c>
      <c r="J80">
        <v>32</v>
      </c>
      <c r="K80">
        <v>19</v>
      </c>
      <c r="L80">
        <v>48</v>
      </c>
      <c r="M80">
        <v>44</v>
      </c>
      <c r="N80">
        <v>1.828792</v>
      </c>
      <c r="O80">
        <v>7.7803800000000001</v>
      </c>
      <c r="P80">
        <v>0.45760000000000001</v>
      </c>
      <c r="Q80">
        <v>0.14538799999999999</v>
      </c>
      <c r="R80">
        <v>4.2048000000000002E-2</v>
      </c>
      <c r="S80">
        <v>10.212160000000001</v>
      </c>
    </row>
    <row r="81" spans="1:19">
      <c r="A81" t="s">
        <v>20</v>
      </c>
      <c r="B81">
        <v>43.697765879999999</v>
      </c>
      <c r="C81">
        <v>1.708669996</v>
      </c>
      <c r="D81">
        <v>41.48514334</v>
      </c>
      <c r="E81">
        <v>42.613960720000001</v>
      </c>
      <c r="F81">
        <v>45.050460960000002</v>
      </c>
      <c r="G81">
        <v>45.641498499999997</v>
      </c>
      <c r="H81">
        <v>18</v>
      </c>
      <c r="I81">
        <v>88</v>
      </c>
      <c r="J81">
        <v>16</v>
      </c>
      <c r="K81">
        <v>34</v>
      </c>
      <c r="L81">
        <v>36</v>
      </c>
      <c r="M81">
        <v>58</v>
      </c>
      <c r="N81">
        <v>2.3513039999999998</v>
      </c>
      <c r="O81">
        <v>7.3620799999999997</v>
      </c>
      <c r="P81">
        <v>0.2288</v>
      </c>
      <c r="Q81">
        <v>0.26016800000000001</v>
      </c>
      <c r="R81">
        <v>3.1536000000000002E-2</v>
      </c>
      <c r="S81">
        <v>10.202351999999999</v>
      </c>
    </row>
    <row r="82" spans="1:19">
      <c r="A82" t="s">
        <v>20</v>
      </c>
      <c r="B82">
        <v>38.625415799999999</v>
      </c>
      <c r="C82">
        <v>1.0625126650000001</v>
      </c>
      <c r="D82">
        <v>40.038525870000001</v>
      </c>
      <c r="E82">
        <v>38.205015510000003</v>
      </c>
      <c r="F82">
        <v>39.090668880000003</v>
      </c>
      <c r="G82">
        <v>37.167452920000002</v>
      </c>
      <c r="H82">
        <v>19</v>
      </c>
      <c r="I82">
        <v>102</v>
      </c>
      <c r="J82">
        <v>21</v>
      </c>
      <c r="K82">
        <v>32</v>
      </c>
      <c r="L82">
        <v>35</v>
      </c>
      <c r="M82">
        <v>41</v>
      </c>
      <c r="N82">
        <v>2.481932</v>
      </c>
      <c r="O82">
        <v>8.5333199999999998</v>
      </c>
      <c r="P82">
        <v>0.30030000000000001</v>
      </c>
      <c r="Q82">
        <v>0.244864</v>
      </c>
      <c r="R82">
        <v>3.066E-2</v>
      </c>
      <c r="S82">
        <v>11.560416</v>
      </c>
    </row>
    <row r="83" spans="1:19">
      <c r="A83" t="s">
        <v>20</v>
      </c>
      <c r="B83">
        <v>53.891715240000003</v>
      </c>
      <c r="C83">
        <v>0.66530924499999999</v>
      </c>
      <c r="D83">
        <v>54.533847600000001</v>
      </c>
      <c r="E83">
        <v>53.209115699999998</v>
      </c>
      <c r="F83">
        <v>54.579575470000002</v>
      </c>
      <c r="G83">
        <v>53.244322189999998</v>
      </c>
      <c r="H83">
        <v>14</v>
      </c>
      <c r="I83">
        <v>100</v>
      </c>
      <c r="J83">
        <v>15</v>
      </c>
      <c r="K83">
        <v>8</v>
      </c>
      <c r="L83">
        <v>30</v>
      </c>
      <c r="M83">
        <v>83</v>
      </c>
      <c r="N83">
        <v>1.828792</v>
      </c>
      <c r="O83">
        <v>8.3659999999999997</v>
      </c>
      <c r="P83">
        <v>0.2145</v>
      </c>
      <c r="Q83">
        <v>6.1216E-2</v>
      </c>
      <c r="R83">
        <v>2.6280000000000001E-2</v>
      </c>
      <c r="S83">
        <v>10.470508000000001</v>
      </c>
    </row>
    <row r="84" spans="1:19">
      <c r="A84" t="s">
        <v>20</v>
      </c>
      <c r="B84">
        <v>51.932440509999999</v>
      </c>
      <c r="C84">
        <v>2.8787989569999999</v>
      </c>
      <c r="D84">
        <v>56.015767510000003</v>
      </c>
      <c r="E84">
        <v>53.151280739999997</v>
      </c>
      <c r="F84">
        <v>49.964845850000003</v>
      </c>
      <c r="G84">
        <v>48.597867950000001</v>
      </c>
      <c r="H84">
        <v>17</v>
      </c>
      <c r="I84">
        <v>86</v>
      </c>
      <c r="J84">
        <v>26</v>
      </c>
      <c r="K84">
        <v>26</v>
      </c>
      <c r="L84">
        <v>38</v>
      </c>
      <c r="M84">
        <v>57</v>
      </c>
      <c r="N84">
        <v>2.2206760000000001</v>
      </c>
      <c r="O84">
        <v>7.1947599999999996</v>
      </c>
      <c r="P84">
        <v>0.37180000000000002</v>
      </c>
      <c r="Q84">
        <v>0.19895199999999999</v>
      </c>
      <c r="R84">
        <v>3.3287999999999998E-2</v>
      </c>
      <c r="S84">
        <v>9.9861880000000003</v>
      </c>
    </row>
    <row r="85" spans="1:19">
      <c r="A85" t="s">
        <v>20</v>
      </c>
      <c r="B85">
        <v>51.748017410000003</v>
      </c>
      <c r="C85">
        <v>1.988065177</v>
      </c>
      <c r="D85">
        <v>54.629746779999998</v>
      </c>
      <c r="E85">
        <v>51.005061789999999</v>
      </c>
      <c r="F85">
        <v>52.20606119</v>
      </c>
      <c r="G85">
        <v>49.15119988</v>
      </c>
      <c r="H85">
        <v>17</v>
      </c>
      <c r="I85">
        <v>92</v>
      </c>
      <c r="J85">
        <v>20</v>
      </c>
      <c r="K85">
        <v>35</v>
      </c>
      <c r="L85">
        <v>11</v>
      </c>
      <c r="M85">
        <v>75</v>
      </c>
      <c r="N85">
        <v>2.2206760000000001</v>
      </c>
      <c r="O85">
        <v>7.69672</v>
      </c>
      <c r="P85">
        <v>0.28599999999999998</v>
      </c>
      <c r="Q85">
        <v>0.26782</v>
      </c>
      <c r="R85">
        <v>9.6360000000000005E-3</v>
      </c>
      <c r="S85">
        <v>10.471216</v>
      </c>
    </row>
    <row r="86" spans="1:19">
      <c r="A86" t="s">
        <v>20</v>
      </c>
      <c r="B86">
        <v>48.628540520000001</v>
      </c>
      <c r="C86">
        <v>2.8437005219999998</v>
      </c>
      <c r="D86">
        <v>53.118103619999999</v>
      </c>
      <c r="E86">
        <v>49.04187366</v>
      </c>
      <c r="F86">
        <v>46.189617869999999</v>
      </c>
      <c r="G86">
        <v>46.16456694</v>
      </c>
      <c r="H86">
        <v>19</v>
      </c>
      <c r="I86">
        <v>88</v>
      </c>
      <c r="J86">
        <v>20</v>
      </c>
      <c r="K86">
        <v>47</v>
      </c>
      <c r="L86">
        <v>32</v>
      </c>
      <c r="M86">
        <v>44</v>
      </c>
      <c r="N86">
        <v>2.481932</v>
      </c>
      <c r="O86">
        <v>7.3620799999999997</v>
      </c>
      <c r="P86">
        <v>0.28599999999999998</v>
      </c>
      <c r="Q86">
        <v>0.35964400000000002</v>
      </c>
      <c r="R86">
        <v>2.8032000000000001E-2</v>
      </c>
      <c r="S86">
        <v>10.489656</v>
      </c>
    </row>
    <row r="87" spans="1:19">
      <c r="A87" t="s">
        <v>20</v>
      </c>
      <c r="B87">
        <v>76.892874259999999</v>
      </c>
      <c r="C87">
        <v>0.97743916099999995</v>
      </c>
      <c r="D87">
        <v>78.311983299999994</v>
      </c>
      <c r="E87">
        <v>77.239268850000002</v>
      </c>
      <c r="F87">
        <v>75.755968910000007</v>
      </c>
      <c r="G87">
        <v>76.26427597</v>
      </c>
      <c r="H87">
        <v>17</v>
      </c>
      <c r="I87">
        <v>74</v>
      </c>
      <c r="J87">
        <v>6</v>
      </c>
      <c r="K87">
        <v>20</v>
      </c>
      <c r="L87">
        <v>17</v>
      </c>
      <c r="M87">
        <v>116</v>
      </c>
      <c r="N87">
        <v>2.2206760000000001</v>
      </c>
      <c r="O87">
        <v>6.1908399999999997</v>
      </c>
      <c r="P87">
        <v>8.5800000000000001E-2</v>
      </c>
      <c r="Q87">
        <v>0.15304000000000001</v>
      </c>
      <c r="R87">
        <v>1.4892000000000001E-2</v>
      </c>
      <c r="S87">
        <v>8.6503560000000004</v>
      </c>
    </row>
    <row r="88" spans="1:19">
      <c r="A88" t="s">
        <v>20</v>
      </c>
      <c r="B88">
        <v>49.717258110000003</v>
      </c>
      <c r="C88">
        <v>2.0971014779999999</v>
      </c>
      <c r="D88">
        <v>52.257463909999998</v>
      </c>
      <c r="E88">
        <v>51.161281090000003</v>
      </c>
      <c r="F88">
        <v>48.472288669999998</v>
      </c>
      <c r="G88">
        <v>46.97799878</v>
      </c>
      <c r="H88">
        <v>13</v>
      </c>
      <c r="I88">
        <v>107</v>
      </c>
      <c r="J88">
        <v>23</v>
      </c>
      <c r="K88">
        <v>32</v>
      </c>
      <c r="L88">
        <v>31</v>
      </c>
      <c r="M88">
        <v>44</v>
      </c>
      <c r="N88">
        <v>1.698164</v>
      </c>
      <c r="O88">
        <v>8.9516200000000001</v>
      </c>
      <c r="P88">
        <v>0.32890000000000003</v>
      </c>
      <c r="Q88">
        <v>0.244864</v>
      </c>
      <c r="R88">
        <v>2.7156E-2</v>
      </c>
      <c r="S88">
        <v>11.223547999999999</v>
      </c>
    </row>
    <row r="89" spans="1:19">
      <c r="A89" t="s">
        <v>20</v>
      </c>
      <c r="B89">
        <v>45.528684419999998</v>
      </c>
      <c r="C89">
        <v>1.175466213</v>
      </c>
      <c r="D89">
        <v>47.202724830000001</v>
      </c>
      <c r="E89">
        <v>43.878189579999997</v>
      </c>
      <c r="F89">
        <v>45.511364299999997</v>
      </c>
      <c r="G89">
        <v>45.522458960000002</v>
      </c>
      <c r="H89">
        <v>18</v>
      </c>
      <c r="I89">
        <v>74</v>
      </c>
      <c r="J89">
        <v>6</v>
      </c>
      <c r="K89">
        <v>25</v>
      </c>
      <c r="L89">
        <v>26</v>
      </c>
      <c r="M89">
        <v>101</v>
      </c>
      <c r="N89">
        <v>2.3513039999999998</v>
      </c>
      <c r="O89">
        <v>6.1908399999999997</v>
      </c>
      <c r="P89">
        <v>8.5800000000000001E-2</v>
      </c>
      <c r="Q89">
        <v>0.1913</v>
      </c>
      <c r="R89">
        <v>2.2776000000000001E-2</v>
      </c>
      <c r="S89">
        <v>8.8192439999999994</v>
      </c>
    </row>
    <row r="90" spans="1:19">
      <c r="A90" t="s">
        <v>20</v>
      </c>
      <c r="B90">
        <v>31.10677355</v>
      </c>
      <c r="C90">
        <v>1.7611749830000001</v>
      </c>
      <c r="D90">
        <v>31.589520570000001</v>
      </c>
      <c r="E90">
        <v>28.10748662</v>
      </c>
      <c r="F90">
        <v>32.441515629999998</v>
      </c>
      <c r="G90">
        <v>32.288571359999999</v>
      </c>
      <c r="H90">
        <v>17</v>
      </c>
      <c r="I90">
        <v>92</v>
      </c>
      <c r="J90">
        <v>18</v>
      </c>
      <c r="K90">
        <v>36</v>
      </c>
      <c r="L90">
        <v>30</v>
      </c>
      <c r="M90">
        <v>57</v>
      </c>
      <c r="N90">
        <v>2.2206760000000001</v>
      </c>
      <c r="O90">
        <v>7.69672</v>
      </c>
      <c r="P90">
        <v>0.25740000000000002</v>
      </c>
      <c r="Q90">
        <v>0.27547199999999999</v>
      </c>
      <c r="R90">
        <v>2.6280000000000001E-2</v>
      </c>
      <c r="S90">
        <v>10.450267999999999</v>
      </c>
    </row>
    <row r="91" spans="1:19">
      <c r="A91" t="s">
        <v>20</v>
      </c>
      <c r="B91">
        <v>20.569219</v>
      </c>
      <c r="C91">
        <v>7.8803646919999997</v>
      </c>
      <c r="D91">
        <v>23.507840160000001</v>
      </c>
      <c r="E91">
        <v>25.82808528</v>
      </c>
      <c r="F91">
        <v>25.917962280000001</v>
      </c>
      <c r="G91">
        <v>7.0229882640000003</v>
      </c>
      <c r="H91">
        <v>8</v>
      </c>
      <c r="I91">
        <v>104</v>
      </c>
      <c r="J91">
        <v>42</v>
      </c>
      <c r="K91">
        <v>36</v>
      </c>
      <c r="L91">
        <v>21</v>
      </c>
      <c r="M91">
        <v>39</v>
      </c>
      <c r="N91">
        <v>1.045024</v>
      </c>
      <c r="O91">
        <v>8.7006399999999999</v>
      </c>
      <c r="P91">
        <v>0.60060000000000002</v>
      </c>
      <c r="Q91">
        <v>0.27547199999999999</v>
      </c>
      <c r="R91">
        <v>1.8395999999999999E-2</v>
      </c>
      <c r="S91">
        <v>10.621736</v>
      </c>
    </row>
    <row r="92" spans="1:19">
      <c r="A92" t="s">
        <v>20</v>
      </c>
      <c r="B92">
        <v>34.524267559999998</v>
      </c>
      <c r="C92">
        <v>2.118344724</v>
      </c>
      <c r="D92">
        <v>34.079768729999998</v>
      </c>
      <c r="E92">
        <v>33.779479440000003</v>
      </c>
      <c r="F92">
        <v>37.990325949999999</v>
      </c>
      <c r="G92">
        <v>32.247496130000002</v>
      </c>
      <c r="H92">
        <v>19</v>
      </c>
      <c r="I92">
        <v>92</v>
      </c>
      <c r="J92">
        <v>28</v>
      </c>
      <c r="K92">
        <v>24</v>
      </c>
      <c r="L92">
        <v>14</v>
      </c>
      <c r="M92">
        <v>73</v>
      </c>
      <c r="N92">
        <v>2.481932</v>
      </c>
      <c r="O92">
        <v>7.69672</v>
      </c>
      <c r="P92">
        <v>0.40039999999999998</v>
      </c>
      <c r="Q92">
        <v>0.18364800000000001</v>
      </c>
      <c r="R92">
        <v>1.2264000000000001E-2</v>
      </c>
      <c r="S92">
        <v>10.762700000000001</v>
      </c>
    </row>
    <row r="93" spans="1:19">
      <c r="A93" t="s">
        <v>20</v>
      </c>
      <c r="B93">
        <v>26.80603584</v>
      </c>
      <c r="C93">
        <v>0.68708373</v>
      </c>
      <c r="D93">
        <v>27.708845669999999</v>
      </c>
      <c r="E93">
        <v>26.75908111</v>
      </c>
      <c r="F93">
        <v>25.784466179999999</v>
      </c>
      <c r="G93">
        <v>26.97175039</v>
      </c>
      <c r="H93">
        <v>19</v>
      </c>
      <c r="I93">
        <v>87</v>
      </c>
      <c r="J93">
        <v>43</v>
      </c>
      <c r="K93">
        <v>49</v>
      </c>
      <c r="L93">
        <v>31</v>
      </c>
      <c r="M93">
        <v>21</v>
      </c>
      <c r="N93">
        <v>2.481932</v>
      </c>
      <c r="O93">
        <v>7.2784199999999997</v>
      </c>
      <c r="P93">
        <v>0.6149</v>
      </c>
      <c r="Q93">
        <v>0.374948</v>
      </c>
      <c r="R93">
        <v>2.7156E-2</v>
      </c>
      <c r="S93">
        <v>10.7502</v>
      </c>
    </row>
    <row r="94" spans="1:19">
      <c r="A94" t="s">
        <v>20</v>
      </c>
      <c r="B94">
        <v>35.536387349999998</v>
      </c>
      <c r="C94">
        <v>1.0547202689999999</v>
      </c>
      <c r="D94">
        <v>33.717145180000003</v>
      </c>
      <c r="E94">
        <v>36.016234300000001</v>
      </c>
      <c r="F94">
        <v>36.125915040000002</v>
      </c>
      <c r="G94">
        <v>36.286254890000002</v>
      </c>
      <c r="H94">
        <v>18</v>
      </c>
      <c r="I94">
        <v>83</v>
      </c>
      <c r="J94">
        <v>24</v>
      </c>
      <c r="K94">
        <v>44</v>
      </c>
      <c r="L94">
        <v>10</v>
      </c>
      <c r="M94">
        <v>71</v>
      </c>
      <c r="N94">
        <v>2.3513039999999998</v>
      </c>
      <c r="O94">
        <v>6.9437800000000003</v>
      </c>
      <c r="P94">
        <v>0.34320000000000001</v>
      </c>
      <c r="Q94">
        <v>0.33668799999999999</v>
      </c>
      <c r="R94">
        <v>8.7600000000000004E-3</v>
      </c>
      <c r="S94">
        <v>9.9749719999999993</v>
      </c>
    </row>
    <row r="95" spans="1:19">
      <c r="A95" t="s">
        <v>20</v>
      </c>
      <c r="B95">
        <v>76.210383960000001</v>
      </c>
      <c r="C95">
        <v>2.5575606909999999</v>
      </c>
      <c r="D95">
        <v>80.007048159999997</v>
      </c>
      <c r="E95">
        <v>76.76847368</v>
      </c>
      <c r="F95">
        <v>73.043966389999994</v>
      </c>
      <c r="G95">
        <v>75.022047610000001</v>
      </c>
      <c r="H95">
        <v>8</v>
      </c>
      <c r="I95">
        <v>46</v>
      </c>
      <c r="J95">
        <v>8</v>
      </c>
      <c r="K95">
        <v>21</v>
      </c>
      <c r="L95">
        <v>46</v>
      </c>
      <c r="M95">
        <v>121</v>
      </c>
      <c r="N95">
        <v>1.045024</v>
      </c>
      <c r="O95">
        <v>3.84836</v>
      </c>
      <c r="P95">
        <v>0.1144</v>
      </c>
      <c r="Q95">
        <v>0.160692</v>
      </c>
      <c r="R95">
        <v>4.0295999999999998E-2</v>
      </c>
      <c r="S95">
        <v>5.1684760000000001</v>
      </c>
    </row>
    <row r="96" spans="1:19">
      <c r="A96" t="s">
        <v>20</v>
      </c>
      <c r="B96">
        <v>22.841710729999999</v>
      </c>
      <c r="C96">
        <v>2.9751428130000002</v>
      </c>
      <c r="D96">
        <v>22.647257710000002</v>
      </c>
      <c r="E96">
        <v>18.064133040000002</v>
      </c>
      <c r="F96">
        <v>25.025820589999999</v>
      </c>
      <c r="G96">
        <v>25.629631570000001</v>
      </c>
      <c r="H96">
        <v>17</v>
      </c>
      <c r="I96">
        <v>111</v>
      </c>
      <c r="J96">
        <v>30</v>
      </c>
      <c r="K96">
        <v>37</v>
      </c>
      <c r="L96">
        <v>18</v>
      </c>
      <c r="M96">
        <v>37</v>
      </c>
      <c r="N96">
        <v>2.2206760000000001</v>
      </c>
      <c r="O96">
        <v>9.2862600000000004</v>
      </c>
      <c r="P96">
        <v>0.42899999999999999</v>
      </c>
      <c r="Q96">
        <v>0.28312399999999999</v>
      </c>
      <c r="R96">
        <v>1.5768000000000001E-2</v>
      </c>
      <c r="S96">
        <v>12.219060000000001</v>
      </c>
    </row>
    <row r="97" spans="1:19">
      <c r="A97" t="s">
        <v>20</v>
      </c>
      <c r="B97">
        <v>43.293822679999998</v>
      </c>
      <c r="C97">
        <v>0.69383659399999997</v>
      </c>
      <c r="D97">
        <v>43.417154680000003</v>
      </c>
      <c r="E97">
        <v>42.527462810000003</v>
      </c>
      <c r="F97">
        <v>44.36245649</v>
      </c>
      <c r="G97">
        <v>42.86821673</v>
      </c>
      <c r="H97">
        <v>7</v>
      </c>
      <c r="I97">
        <v>96</v>
      </c>
      <c r="J97">
        <v>25</v>
      </c>
      <c r="K97">
        <v>36</v>
      </c>
      <c r="L97">
        <v>27</v>
      </c>
      <c r="M97">
        <v>59</v>
      </c>
      <c r="N97">
        <v>0.91439599999999999</v>
      </c>
      <c r="O97">
        <v>8.0313599999999994</v>
      </c>
      <c r="P97">
        <v>0.35749999999999998</v>
      </c>
      <c r="Q97">
        <v>0.27547199999999999</v>
      </c>
      <c r="R97">
        <v>2.3651999999999999E-2</v>
      </c>
      <c r="S97">
        <v>9.5787279999999999</v>
      </c>
    </row>
    <row r="98" spans="1:19">
      <c r="A98" t="s">
        <v>20</v>
      </c>
      <c r="B98">
        <v>39.952322270000003</v>
      </c>
      <c r="C98">
        <v>3.5852031000000002</v>
      </c>
      <c r="D98">
        <v>37.578398069999999</v>
      </c>
      <c r="E98">
        <v>35.335071370000001</v>
      </c>
      <c r="F98">
        <v>43.343176079999999</v>
      </c>
      <c r="G98">
        <v>43.552643570000001</v>
      </c>
      <c r="H98">
        <v>14</v>
      </c>
      <c r="I98">
        <v>89</v>
      </c>
      <c r="J98">
        <v>48</v>
      </c>
      <c r="K98">
        <v>16</v>
      </c>
      <c r="L98">
        <v>27</v>
      </c>
      <c r="M98">
        <v>56</v>
      </c>
      <c r="N98">
        <v>1.828792</v>
      </c>
      <c r="O98">
        <v>7.4457399999999998</v>
      </c>
      <c r="P98">
        <v>0.68640000000000001</v>
      </c>
      <c r="Q98">
        <v>0.122432</v>
      </c>
      <c r="R98">
        <v>2.3651999999999999E-2</v>
      </c>
      <c r="S98">
        <v>10.083364</v>
      </c>
    </row>
    <row r="99" spans="1:19">
      <c r="A99" t="s">
        <v>20</v>
      </c>
      <c r="B99">
        <v>33.852190139999998</v>
      </c>
      <c r="C99">
        <v>0.58013582100000005</v>
      </c>
      <c r="D99">
        <v>33.329626079999997</v>
      </c>
      <c r="E99">
        <v>33.500501210000003</v>
      </c>
      <c r="F99">
        <v>34.821910680000002</v>
      </c>
      <c r="G99">
        <v>33.756722590000003</v>
      </c>
      <c r="H99">
        <v>9</v>
      </c>
      <c r="I99">
        <v>134</v>
      </c>
      <c r="J99">
        <v>16</v>
      </c>
      <c r="K99">
        <v>28</v>
      </c>
      <c r="L99">
        <v>8</v>
      </c>
      <c r="M99">
        <v>55</v>
      </c>
      <c r="N99">
        <v>1.1756519999999999</v>
      </c>
      <c r="O99">
        <v>11.21044</v>
      </c>
      <c r="P99">
        <v>0.2288</v>
      </c>
      <c r="Q99">
        <v>0.214256</v>
      </c>
      <c r="R99">
        <v>7.0080000000000003E-3</v>
      </c>
      <c r="S99">
        <v>12.829148</v>
      </c>
    </row>
    <row r="100" spans="1:19">
      <c r="A100" t="s">
        <v>20</v>
      </c>
      <c r="B100">
        <v>23.21367038</v>
      </c>
      <c r="C100">
        <v>0.92554827900000003</v>
      </c>
      <c r="D100">
        <v>23.226300640000002</v>
      </c>
      <c r="E100">
        <v>22.094607409999998</v>
      </c>
      <c r="F100">
        <v>22.883144590000001</v>
      </c>
      <c r="G100">
        <v>24.650628879999999</v>
      </c>
      <c r="H100">
        <v>19</v>
      </c>
      <c r="I100">
        <v>112</v>
      </c>
      <c r="J100">
        <v>20</v>
      </c>
      <c r="K100">
        <v>43</v>
      </c>
      <c r="L100">
        <v>33</v>
      </c>
      <c r="M100">
        <v>23</v>
      </c>
      <c r="N100">
        <v>2.481932</v>
      </c>
      <c r="O100">
        <v>9.3699200000000005</v>
      </c>
      <c r="P100">
        <v>0.28599999999999998</v>
      </c>
      <c r="Q100">
        <v>0.329036</v>
      </c>
      <c r="R100">
        <v>2.8908E-2</v>
      </c>
      <c r="S100">
        <v>12.466888000000001</v>
      </c>
    </row>
    <row r="101" spans="1:19">
      <c r="A101" t="s">
        <v>20</v>
      </c>
      <c r="B101">
        <v>29.75196983</v>
      </c>
      <c r="C101">
        <v>1.1597734740000001</v>
      </c>
      <c r="D101">
        <v>30.641548709999999</v>
      </c>
      <c r="E101">
        <v>28.148412539999999</v>
      </c>
      <c r="F101">
        <v>29.170164880000002</v>
      </c>
      <c r="G101">
        <v>31.04775317</v>
      </c>
      <c r="H101">
        <v>17</v>
      </c>
      <c r="I101">
        <v>87</v>
      </c>
      <c r="J101">
        <v>39</v>
      </c>
      <c r="K101">
        <v>38</v>
      </c>
      <c r="L101">
        <v>31</v>
      </c>
      <c r="M101">
        <v>38</v>
      </c>
      <c r="N101">
        <v>2.2206760000000001</v>
      </c>
      <c r="O101">
        <v>7.2784199999999997</v>
      </c>
      <c r="P101">
        <v>0.55769999999999997</v>
      </c>
      <c r="Q101">
        <v>0.29077599999999998</v>
      </c>
      <c r="R101">
        <v>2.7156E-2</v>
      </c>
      <c r="S101">
        <v>10.347572</v>
      </c>
    </row>
    <row r="102" spans="1:19">
      <c r="A102" t="s">
        <v>20</v>
      </c>
      <c r="B102">
        <v>58.736894309999997</v>
      </c>
      <c r="C102">
        <v>0.88253397899999997</v>
      </c>
      <c r="D102">
        <v>59.153851609999997</v>
      </c>
      <c r="E102">
        <v>59.343344549999998</v>
      </c>
      <c r="F102">
        <v>57.212731130000002</v>
      </c>
      <c r="G102">
        <v>59.237649959999999</v>
      </c>
      <c r="H102">
        <v>17</v>
      </c>
      <c r="I102">
        <v>26</v>
      </c>
      <c r="J102">
        <v>41</v>
      </c>
      <c r="K102">
        <v>38</v>
      </c>
      <c r="L102">
        <v>34</v>
      </c>
      <c r="M102">
        <v>94</v>
      </c>
      <c r="N102">
        <v>2.2206760000000001</v>
      </c>
      <c r="O102">
        <v>2.17516</v>
      </c>
      <c r="P102">
        <v>0.58630000000000004</v>
      </c>
      <c r="Q102">
        <v>0.29077599999999998</v>
      </c>
      <c r="R102">
        <v>2.9784000000000001E-2</v>
      </c>
      <c r="S102">
        <v>5.2729119999999998</v>
      </c>
    </row>
    <row r="103" spans="1:19">
      <c r="A103" t="s">
        <v>20</v>
      </c>
      <c r="B103">
        <v>42.748842590000002</v>
      </c>
      <c r="C103">
        <v>3.1704677349999999</v>
      </c>
      <c r="D103">
        <v>41.111133219999999</v>
      </c>
      <c r="E103">
        <v>40.766329310000003</v>
      </c>
      <c r="F103">
        <v>40.881862300000002</v>
      </c>
      <c r="G103">
        <v>48.23604555</v>
      </c>
      <c r="H103">
        <v>18</v>
      </c>
      <c r="I103">
        <v>81</v>
      </c>
      <c r="J103">
        <v>18</v>
      </c>
      <c r="K103">
        <v>39</v>
      </c>
      <c r="L103">
        <v>11</v>
      </c>
      <c r="M103">
        <v>83</v>
      </c>
      <c r="N103">
        <v>2.3513039999999998</v>
      </c>
      <c r="O103">
        <v>6.7764600000000002</v>
      </c>
      <c r="P103">
        <v>0.25740000000000002</v>
      </c>
      <c r="Q103">
        <v>0.29842800000000003</v>
      </c>
      <c r="R103">
        <v>9.6360000000000005E-3</v>
      </c>
      <c r="S103">
        <v>9.6835920000000009</v>
      </c>
    </row>
    <row r="104" spans="1:19">
      <c r="A104" t="s">
        <v>20</v>
      </c>
      <c r="B104">
        <v>43.233608670000002</v>
      </c>
      <c r="C104">
        <v>1.3312996159999999</v>
      </c>
      <c r="D104">
        <v>42.37058365</v>
      </c>
      <c r="E104">
        <v>42.08885514</v>
      </c>
      <c r="F104">
        <v>43.008967409999997</v>
      </c>
      <c r="G104">
        <v>45.466028459999997</v>
      </c>
      <c r="H104">
        <v>19</v>
      </c>
      <c r="I104">
        <v>86</v>
      </c>
      <c r="J104">
        <v>16</v>
      </c>
      <c r="K104">
        <v>34</v>
      </c>
      <c r="L104">
        <v>16</v>
      </c>
      <c r="M104">
        <v>79</v>
      </c>
      <c r="N104">
        <v>2.481932</v>
      </c>
      <c r="O104">
        <v>7.1947599999999996</v>
      </c>
      <c r="P104">
        <v>0.2288</v>
      </c>
      <c r="Q104">
        <v>0.26016800000000001</v>
      </c>
      <c r="R104">
        <v>1.4016000000000001E-2</v>
      </c>
      <c r="S104">
        <v>10.165660000000001</v>
      </c>
    </row>
    <row r="105" spans="1:19">
      <c r="A105" t="s">
        <v>20</v>
      </c>
      <c r="B105">
        <v>23.957312519999999</v>
      </c>
      <c r="C105">
        <v>2.2661053529999999</v>
      </c>
      <c r="D105">
        <v>21.1993084</v>
      </c>
      <c r="E105">
        <v>23.029064160000001</v>
      </c>
      <c r="F105">
        <v>24.17586597</v>
      </c>
      <c r="G105">
        <v>27.42501154</v>
      </c>
      <c r="H105">
        <v>18</v>
      </c>
      <c r="I105">
        <v>86</v>
      </c>
      <c r="J105">
        <v>42</v>
      </c>
      <c r="K105">
        <v>47</v>
      </c>
      <c r="L105">
        <v>29</v>
      </c>
      <c r="M105">
        <v>28</v>
      </c>
      <c r="N105">
        <v>2.3513039999999998</v>
      </c>
      <c r="O105">
        <v>7.1947599999999996</v>
      </c>
      <c r="P105">
        <v>0.60060000000000002</v>
      </c>
      <c r="Q105">
        <v>0.35964400000000002</v>
      </c>
      <c r="R105">
        <v>2.5403999999999999E-2</v>
      </c>
      <c r="S105">
        <v>10.506308000000001</v>
      </c>
    </row>
    <row r="106" spans="1:19">
      <c r="A106" t="s">
        <v>20</v>
      </c>
      <c r="B106">
        <v>41.817460820000001</v>
      </c>
      <c r="C106">
        <v>1.011057259</v>
      </c>
      <c r="D106">
        <v>43.125036180000002</v>
      </c>
      <c r="E106">
        <v>40.62073092</v>
      </c>
      <c r="F106">
        <v>42.447927280000002</v>
      </c>
      <c r="G106">
        <v>41.076148879999998</v>
      </c>
      <c r="H106">
        <v>18</v>
      </c>
      <c r="I106">
        <v>88</v>
      </c>
      <c r="J106">
        <v>22</v>
      </c>
      <c r="K106">
        <v>34</v>
      </c>
      <c r="L106">
        <v>17</v>
      </c>
      <c r="M106">
        <v>71</v>
      </c>
      <c r="N106">
        <v>2.3513039999999998</v>
      </c>
      <c r="O106">
        <v>7.3620799999999997</v>
      </c>
      <c r="P106">
        <v>0.31459999999999999</v>
      </c>
      <c r="Q106">
        <v>0.26016800000000001</v>
      </c>
      <c r="R106">
        <v>1.4892000000000001E-2</v>
      </c>
      <c r="S106">
        <v>10.288152</v>
      </c>
    </row>
    <row r="107" spans="1:19">
      <c r="A107" t="s">
        <v>20</v>
      </c>
      <c r="B107">
        <v>40.85294107</v>
      </c>
      <c r="C107">
        <v>1.6314243930000001</v>
      </c>
      <c r="D107">
        <v>38.705348260000001</v>
      </c>
      <c r="E107">
        <v>40.624612839999998</v>
      </c>
      <c r="F107">
        <v>43.297761399999999</v>
      </c>
      <c r="G107">
        <v>40.784041770000002</v>
      </c>
      <c r="H107">
        <v>17</v>
      </c>
      <c r="I107">
        <v>74</v>
      </c>
      <c r="J107">
        <v>23</v>
      </c>
      <c r="K107">
        <v>47</v>
      </c>
      <c r="L107">
        <v>16</v>
      </c>
      <c r="M107">
        <v>73</v>
      </c>
      <c r="N107">
        <v>2.2206760000000001</v>
      </c>
      <c r="O107">
        <v>6.1908399999999997</v>
      </c>
      <c r="P107">
        <v>0.32890000000000003</v>
      </c>
      <c r="Q107">
        <v>0.35964400000000002</v>
      </c>
      <c r="R107">
        <v>1.4016000000000001E-2</v>
      </c>
      <c r="S107">
        <v>9.1000599999999991</v>
      </c>
    </row>
    <row r="108" spans="1:19">
      <c r="A108" t="s">
        <v>20</v>
      </c>
      <c r="B108">
        <v>38.325510710000003</v>
      </c>
      <c r="C108">
        <v>0.40124130699999999</v>
      </c>
      <c r="D108">
        <v>38.318696520000003</v>
      </c>
      <c r="E108">
        <v>38.197960539999997</v>
      </c>
      <c r="F108">
        <v>38.94885652</v>
      </c>
      <c r="G108">
        <v>37.836529249999998</v>
      </c>
      <c r="H108">
        <v>14</v>
      </c>
      <c r="I108">
        <v>92</v>
      </c>
      <c r="J108">
        <v>28</v>
      </c>
      <c r="K108">
        <v>36</v>
      </c>
      <c r="L108">
        <v>28</v>
      </c>
      <c r="M108">
        <v>52</v>
      </c>
      <c r="N108">
        <v>1.828792</v>
      </c>
      <c r="O108">
        <v>7.69672</v>
      </c>
      <c r="P108">
        <v>0.40039999999999998</v>
      </c>
      <c r="Q108">
        <v>0.27547199999999999</v>
      </c>
      <c r="R108">
        <v>2.4528000000000001E-2</v>
      </c>
      <c r="S108">
        <v>10.201383999999999</v>
      </c>
    </row>
    <row r="109" spans="1:19">
      <c r="A109" t="s">
        <v>20</v>
      </c>
      <c r="B109">
        <v>40.455824049999997</v>
      </c>
      <c r="C109">
        <v>1.108848711</v>
      </c>
      <c r="D109">
        <v>40.132741770000003</v>
      </c>
      <c r="E109">
        <v>39.052298610000001</v>
      </c>
      <c r="F109">
        <v>40.496531750000003</v>
      </c>
      <c r="G109">
        <v>42.141724080000003</v>
      </c>
      <c r="H109">
        <v>13</v>
      </c>
      <c r="I109">
        <v>98</v>
      </c>
      <c r="J109">
        <v>20</v>
      </c>
      <c r="K109">
        <v>33</v>
      </c>
      <c r="L109">
        <v>30</v>
      </c>
      <c r="M109">
        <v>56</v>
      </c>
      <c r="N109">
        <v>1.698164</v>
      </c>
      <c r="O109">
        <v>8.1986799999999995</v>
      </c>
      <c r="P109">
        <v>0.28599999999999998</v>
      </c>
      <c r="Q109">
        <v>0.25251600000000002</v>
      </c>
      <c r="R109">
        <v>2.6280000000000001E-2</v>
      </c>
      <c r="S109">
        <v>10.435359999999999</v>
      </c>
    </row>
    <row r="110" spans="1:19">
      <c r="A110" t="s">
        <v>20</v>
      </c>
      <c r="B110">
        <v>46.981432210000001</v>
      </c>
      <c r="C110">
        <v>1.1457705520000001</v>
      </c>
      <c r="D110">
        <v>48.522701640000001</v>
      </c>
      <c r="E110">
        <v>47.601639280000001</v>
      </c>
      <c r="F110">
        <v>45.62230392</v>
      </c>
      <c r="G110">
        <v>46.179084000000003</v>
      </c>
      <c r="H110">
        <v>17</v>
      </c>
      <c r="I110">
        <v>81</v>
      </c>
      <c r="J110">
        <v>17</v>
      </c>
      <c r="K110">
        <v>34</v>
      </c>
      <c r="L110">
        <v>17</v>
      </c>
      <c r="M110">
        <v>84</v>
      </c>
      <c r="N110">
        <v>2.2206760000000001</v>
      </c>
      <c r="O110">
        <v>6.7764600000000002</v>
      </c>
      <c r="P110">
        <v>0.24310000000000001</v>
      </c>
      <c r="Q110">
        <v>0.26016800000000001</v>
      </c>
      <c r="R110">
        <v>1.4892000000000001E-2</v>
      </c>
      <c r="S110">
        <v>9.5004039999999996</v>
      </c>
    </row>
    <row r="111" spans="1:19">
      <c r="A111" t="s">
        <v>20</v>
      </c>
      <c r="B111">
        <v>36.105629659999998</v>
      </c>
      <c r="C111">
        <v>0.528863737</v>
      </c>
      <c r="D111">
        <v>36.358219550000001</v>
      </c>
      <c r="E111">
        <v>36.520428750000001</v>
      </c>
      <c r="F111">
        <v>36.346488669999999</v>
      </c>
      <c r="G111">
        <v>35.197381669999999</v>
      </c>
      <c r="H111">
        <v>35</v>
      </c>
      <c r="I111">
        <v>0</v>
      </c>
      <c r="J111">
        <v>95</v>
      </c>
      <c r="K111">
        <v>56</v>
      </c>
      <c r="L111">
        <v>27</v>
      </c>
      <c r="M111">
        <v>37</v>
      </c>
      <c r="N111">
        <v>4.5719799999999999</v>
      </c>
      <c r="O111">
        <v>0</v>
      </c>
      <c r="P111">
        <v>1.3585</v>
      </c>
      <c r="Q111">
        <v>0.428512</v>
      </c>
      <c r="R111">
        <v>2.3651999999999999E-2</v>
      </c>
      <c r="S111">
        <v>6.3589919999999998</v>
      </c>
    </row>
    <row r="112" spans="1:19">
      <c r="A112" t="s">
        <v>20</v>
      </c>
      <c r="B112">
        <v>40.648591920000001</v>
      </c>
      <c r="C112">
        <v>1.0425183010000001</v>
      </c>
      <c r="D112">
        <v>42.385714720000003</v>
      </c>
      <c r="E112">
        <v>39.994901030000001</v>
      </c>
      <c r="F112">
        <v>39.70966198</v>
      </c>
      <c r="G112">
        <v>40.504089960000002</v>
      </c>
      <c r="H112">
        <v>9</v>
      </c>
      <c r="I112">
        <v>42</v>
      </c>
      <c r="J112">
        <v>11</v>
      </c>
      <c r="K112">
        <v>125</v>
      </c>
      <c r="L112">
        <v>55</v>
      </c>
      <c r="M112">
        <v>8</v>
      </c>
      <c r="N112">
        <v>1.1756519999999999</v>
      </c>
      <c r="O112">
        <v>3.5137200000000002</v>
      </c>
      <c r="P112">
        <v>0.1573</v>
      </c>
      <c r="Q112">
        <v>0.95650000000000002</v>
      </c>
      <c r="R112">
        <v>4.8180000000000001E-2</v>
      </c>
      <c r="S112">
        <v>5.803172</v>
      </c>
    </row>
    <row r="113" spans="1:19">
      <c r="A113" t="s">
        <v>20</v>
      </c>
      <c r="B113">
        <v>42.948558749999997</v>
      </c>
      <c r="C113">
        <v>0.21230248900000001</v>
      </c>
      <c r="D113">
        <v>42.800988259999997</v>
      </c>
      <c r="E113">
        <v>43.246444769999997</v>
      </c>
      <c r="F113">
        <v>42.702405550000002</v>
      </c>
      <c r="G113">
        <v>43.04439644</v>
      </c>
      <c r="H113">
        <v>53</v>
      </c>
      <c r="I113">
        <v>0</v>
      </c>
      <c r="J113">
        <v>12</v>
      </c>
      <c r="K113">
        <v>103</v>
      </c>
      <c r="L113">
        <v>8</v>
      </c>
      <c r="M113">
        <v>73</v>
      </c>
      <c r="N113">
        <v>6.9232839999999998</v>
      </c>
      <c r="O113">
        <v>0</v>
      </c>
      <c r="P113">
        <v>0.1716</v>
      </c>
      <c r="Q113">
        <v>0.78815599999999997</v>
      </c>
      <c r="R113">
        <v>7.0080000000000003E-3</v>
      </c>
      <c r="S113">
        <v>7.8830400000000003</v>
      </c>
    </row>
    <row r="114" spans="1:19">
      <c r="A114" t="s">
        <v>20</v>
      </c>
      <c r="B114">
        <v>4.3379912579999997</v>
      </c>
      <c r="C114">
        <v>2.5371413810000001</v>
      </c>
      <c r="D114">
        <v>3.4088935820000001</v>
      </c>
      <c r="E114">
        <v>2.7970807290000002</v>
      </c>
      <c r="F114">
        <v>2.4536807289999998</v>
      </c>
      <c r="G114">
        <v>8.69230999</v>
      </c>
      <c r="H114">
        <v>115</v>
      </c>
      <c r="I114">
        <v>20</v>
      </c>
      <c r="J114">
        <v>65</v>
      </c>
      <c r="K114">
        <v>41</v>
      </c>
      <c r="L114">
        <v>8</v>
      </c>
      <c r="M114">
        <v>0</v>
      </c>
      <c r="N114">
        <v>15.022220000000001</v>
      </c>
      <c r="O114">
        <v>1.6732</v>
      </c>
      <c r="P114">
        <v>0.92949999999999999</v>
      </c>
      <c r="Q114">
        <v>0.31373200000000001</v>
      </c>
      <c r="R114">
        <v>7.0080000000000003E-3</v>
      </c>
      <c r="S114">
        <v>17.938652000000001</v>
      </c>
    </row>
    <row r="115" spans="1:19">
      <c r="A115" t="s">
        <v>20</v>
      </c>
      <c r="B115">
        <v>18.175433859999998</v>
      </c>
      <c r="C115">
        <v>11.617926219999999</v>
      </c>
      <c r="D115">
        <v>7.2834200290000002</v>
      </c>
      <c r="E115">
        <v>6.6319686920000001</v>
      </c>
      <c r="F115">
        <v>25.130432079999999</v>
      </c>
      <c r="G115">
        <v>33.655914629999998</v>
      </c>
      <c r="H115">
        <v>36</v>
      </c>
      <c r="I115">
        <v>35</v>
      </c>
      <c r="J115">
        <v>40</v>
      </c>
      <c r="K115">
        <v>111</v>
      </c>
      <c r="L115">
        <v>20</v>
      </c>
      <c r="M115">
        <v>8</v>
      </c>
      <c r="N115">
        <v>4.7026079999999997</v>
      </c>
      <c r="O115">
        <v>2.9281000000000001</v>
      </c>
      <c r="P115">
        <v>0.57199999999999995</v>
      </c>
      <c r="Q115">
        <v>0.84937200000000002</v>
      </c>
      <c r="R115">
        <v>1.7520000000000001E-2</v>
      </c>
      <c r="S115">
        <v>9.0520800000000001</v>
      </c>
    </row>
    <row r="116" spans="1:19">
      <c r="A116" t="s">
        <v>20</v>
      </c>
      <c r="B116">
        <v>27.898668799999999</v>
      </c>
      <c r="C116">
        <v>21.06096616</v>
      </c>
      <c r="D116">
        <v>55.62229275</v>
      </c>
      <c r="E116">
        <v>38.647026480000001</v>
      </c>
      <c r="F116">
        <v>0</v>
      </c>
      <c r="G116">
        <v>17.325355980000001</v>
      </c>
      <c r="H116">
        <v>60</v>
      </c>
      <c r="I116">
        <v>6</v>
      </c>
      <c r="J116">
        <v>56</v>
      </c>
      <c r="K116">
        <v>11</v>
      </c>
      <c r="L116">
        <v>8</v>
      </c>
      <c r="M116">
        <v>109</v>
      </c>
      <c r="N116">
        <v>7.8376799999999998</v>
      </c>
      <c r="O116">
        <v>0.50195999999999996</v>
      </c>
      <c r="P116">
        <v>0.80079999999999996</v>
      </c>
      <c r="Q116">
        <v>8.4171999999999997E-2</v>
      </c>
      <c r="R116">
        <v>7.0080000000000003E-3</v>
      </c>
      <c r="S116">
        <v>9.2246120000000005</v>
      </c>
    </row>
    <row r="117" spans="1:19">
      <c r="A117" t="s">
        <v>20</v>
      </c>
      <c r="B117">
        <v>14.94345858</v>
      </c>
      <c r="C117">
        <v>6.5732450189999998</v>
      </c>
      <c r="D117">
        <v>11.45609784</v>
      </c>
      <c r="E117">
        <v>25.302950259999999</v>
      </c>
      <c r="F117">
        <v>7.6514654899999996</v>
      </c>
      <c r="G117">
        <v>15.363320720000001</v>
      </c>
      <c r="H117">
        <v>96</v>
      </c>
      <c r="I117">
        <v>25</v>
      </c>
      <c r="J117">
        <v>6</v>
      </c>
      <c r="K117">
        <v>30</v>
      </c>
      <c r="L117">
        <v>47</v>
      </c>
      <c r="M117">
        <v>46</v>
      </c>
      <c r="N117">
        <v>12.540288</v>
      </c>
      <c r="O117">
        <v>2.0914999999999999</v>
      </c>
      <c r="P117">
        <v>8.5800000000000001E-2</v>
      </c>
      <c r="Q117">
        <v>0.22955999999999999</v>
      </c>
      <c r="R117">
        <v>4.1172E-2</v>
      </c>
      <c r="S117">
        <v>14.947148</v>
      </c>
    </row>
    <row r="118" spans="1:19">
      <c r="A118" t="s">
        <v>20</v>
      </c>
      <c r="B118">
        <v>27.22818968</v>
      </c>
      <c r="C118">
        <v>13.83151389</v>
      </c>
      <c r="D118">
        <v>40.515448829999997</v>
      </c>
      <c r="E118">
        <v>7.9203187870000002</v>
      </c>
      <c r="F118">
        <v>40.18269205</v>
      </c>
      <c r="G118">
        <v>20.294299030000001</v>
      </c>
      <c r="H118">
        <v>0</v>
      </c>
      <c r="I118">
        <v>78</v>
      </c>
      <c r="J118">
        <v>46</v>
      </c>
      <c r="K118">
        <v>23</v>
      </c>
      <c r="L118">
        <v>6</v>
      </c>
      <c r="M118">
        <v>97</v>
      </c>
      <c r="N118">
        <v>0</v>
      </c>
      <c r="O118">
        <v>6.5254799999999999</v>
      </c>
      <c r="P118">
        <v>0.65780000000000005</v>
      </c>
      <c r="Q118">
        <v>0.17599600000000001</v>
      </c>
      <c r="R118">
        <v>5.2560000000000003E-3</v>
      </c>
      <c r="S118">
        <v>7.3592760000000004</v>
      </c>
    </row>
    <row r="119" spans="1:19">
      <c r="A119" t="s">
        <v>20</v>
      </c>
      <c r="B119">
        <v>18.43656725</v>
      </c>
      <c r="C119">
        <v>14.57258493</v>
      </c>
      <c r="D119">
        <v>32.521116130000003</v>
      </c>
      <c r="E119">
        <v>0</v>
      </c>
      <c r="F119">
        <v>8.3306921169999999</v>
      </c>
      <c r="G119">
        <v>32.894460770000002</v>
      </c>
      <c r="H119">
        <v>0</v>
      </c>
      <c r="I119">
        <v>25</v>
      </c>
      <c r="J119">
        <v>59</v>
      </c>
      <c r="K119">
        <v>112</v>
      </c>
      <c r="L119">
        <v>43</v>
      </c>
      <c r="M119">
        <v>11</v>
      </c>
      <c r="N119">
        <v>0</v>
      </c>
      <c r="O119">
        <v>2.0914999999999999</v>
      </c>
      <c r="P119">
        <v>0.84370000000000001</v>
      </c>
      <c r="Q119">
        <v>0.85702400000000001</v>
      </c>
      <c r="R119">
        <v>3.7668E-2</v>
      </c>
      <c r="S119">
        <v>3.792224</v>
      </c>
    </row>
    <row r="120" spans="1:19">
      <c r="A120" t="s">
        <v>20</v>
      </c>
      <c r="B120">
        <v>67.332261810000006</v>
      </c>
      <c r="C120">
        <v>1.7582467639999999</v>
      </c>
      <c r="D120">
        <v>70.194172829999999</v>
      </c>
      <c r="E120">
        <v>67.29456132</v>
      </c>
      <c r="F120">
        <v>65.615453310000007</v>
      </c>
      <c r="G120">
        <v>66.224859760000001</v>
      </c>
      <c r="H120">
        <v>27</v>
      </c>
      <c r="I120">
        <v>0</v>
      </c>
      <c r="J120">
        <v>8</v>
      </c>
      <c r="K120">
        <v>46</v>
      </c>
      <c r="L120">
        <v>26</v>
      </c>
      <c r="M120">
        <v>143</v>
      </c>
      <c r="N120">
        <v>3.5269560000000002</v>
      </c>
      <c r="O120">
        <v>0</v>
      </c>
      <c r="P120">
        <v>0.1144</v>
      </c>
      <c r="Q120">
        <v>0.35199200000000003</v>
      </c>
      <c r="R120">
        <v>2.2776000000000001E-2</v>
      </c>
      <c r="S120">
        <v>3.9933480000000001</v>
      </c>
    </row>
    <row r="121" spans="1:19">
      <c r="A121" t="s">
        <v>20</v>
      </c>
      <c r="B121">
        <v>75.949511759999993</v>
      </c>
      <c r="C121">
        <v>3.1640901449999999</v>
      </c>
      <c r="D121">
        <v>77.879815199999996</v>
      </c>
      <c r="E121">
        <v>78.112538900000004</v>
      </c>
      <c r="F121">
        <v>77.313376529999999</v>
      </c>
      <c r="G121">
        <v>70.492316430000002</v>
      </c>
      <c r="H121">
        <v>20</v>
      </c>
      <c r="I121">
        <v>12</v>
      </c>
      <c r="J121">
        <v>23</v>
      </c>
      <c r="K121">
        <v>45</v>
      </c>
      <c r="L121">
        <v>26</v>
      </c>
      <c r="M121">
        <v>124</v>
      </c>
      <c r="N121">
        <v>2.6125600000000002</v>
      </c>
      <c r="O121">
        <v>1.0039199999999999</v>
      </c>
      <c r="P121">
        <v>0.32890000000000003</v>
      </c>
      <c r="Q121">
        <v>0.34433999999999998</v>
      </c>
      <c r="R121">
        <v>2.2776000000000001E-2</v>
      </c>
      <c r="S121">
        <v>4.28972</v>
      </c>
    </row>
    <row r="122" spans="1:19">
      <c r="A122" t="s">
        <v>20</v>
      </c>
      <c r="B122">
        <v>34.268872440000003</v>
      </c>
      <c r="C122">
        <v>9.5424811770000009</v>
      </c>
      <c r="D122">
        <v>39.693911460000002</v>
      </c>
      <c r="E122">
        <v>17.7530182</v>
      </c>
      <c r="F122">
        <v>39.300369860000004</v>
      </c>
      <c r="G122">
        <v>40.328190229999997</v>
      </c>
      <c r="H122">
        <v>0</v>
      </c>
      <c r="I122">
        <v>81</v>
      </c>
      <c r="J122">
        <v>45</v>
      </c>
      <c r="K122">
        <v>24</v>
      </c>
      <c r="L122">
        <v>53</v>
      </c>
      <c r="M122">
        <v>47</v>
      </c>
      <c r="N122">
        <v>0</v>
      </c>
      <c r="O122">
        <v>6.7764600000000002</v>
      </c>
      <c r="P122">
        <v>0.64349999999999996</v>
      </c>
      <c r="Q122">
        <v>0.18364800000000001</v>
      </c>
      <c r="R122">
        <v>4.6427999999999997E-2</v>
      </c>
      <c r="S122">
        <v>7.6036080000000004</v>
      </c>
    </row>
    <row r="123" spans="1:19">
      <c r="A123" t="s">
        <v>20</v>
      </c>
      <c r="B123">
        <v>73.341262790000002</v>
      </c>
      <c r="C123">
        <v>0.92418885399999995</v>
      </c>
      <c r="D123">
        <v>74.126037080000003</v>
      </c>
      <c r="E123">
        <v>74.350654390000003</v>
      </c>
      <c r="F123">
        <v>72.150715680000005</v>
      </c>
      <c r="G123">
        <v>72.737644009999997</v>
      </c>
      <c r="H123">
        <v>16</v>
      </c>
      <c r="I123">
        <v>0</v>
      </c>
      <c r="J123">
        <v>18</v>
      </c>
      <c r="K123">
        <v>46</v>
      </c>
      <c r="L123">
        <v>26</v>
      </c>
      <c r="M123">
        <v>144</v>
      </c>
      <c r="N123">
        <v>2.0900479999999999</v>
      </c>
      <c r="O123">
        <v>0</v>
      </c>
      <c r="P123">
        <v>0.25740000000000002</v>
      </c>
      <c r="Q123">
        <v>0.35199200000000003</v>
      </c>
      <c r="R123">
        <v>2.2776000000000001E-2</v>
      </c>
      <c r="S123">
        <v>2.6994400000000001</v>
      </c>
    </row>
    <row r="124" spans="1:19">
      <c r="A124" t="s">
        <v>20</v>
      </c>
      <c r="B124">
        <v>72.111682020000003</v>
      </c>
      <c r="C124">
        <v>0.80108746200000003</v>
      </c>
      <c r="D124">
        <v>70.726337560000005</v>
      </c>
      <c r="E124">
        <v>72.604625380000002</v>
      </c>
      <c r="F124">
        <v>72.615337719999999</v>
      </c>
      <c r="G124">
        <v>72.500427430000002</v>
      </c>
      <c r="H124">
        <v>37</v>
      </c>
      <c r="I124">
        <v>14</v>
      </c>
      <c r="J124">
        <v>17</v>
      </c>
      <c r="K124">
        <v>18</v>
      </c>
      <c r="L124">
        <v>146</v>
      </c>
      <c r="M124">
        <v>18</v>
      </c>
      <c r="N124">
        <v>4.8332360000000003</v>
      </c>
      <c r="O124">
        <v>1.1712400000000001</v>
      </c>
      <c r="P124">
        <v>0.24310000000000001</v>
      </c>
      <c r="Q124">
        <v>0.137736</v>
      </c>
      <c r="R124">
        <v>0.12789600000000001</v>
      </c>
      <c r="S124">
        <v>6.3853119999999999</v>
      </c>
    </row>
    <row r="125" spans="1:19">
      <c r="A125" t="s">
        <v>20</v>
      </c>
      <c r="B125">
        <v>14.69298126</v>
      </c>
      <c r="C125">
        <v>19.943135269999999</v>
      </c>
      <c r="D125">
        <v>10.315307239999999</v>
      </c>
      <c r="E125">
        <v>0</v>
      </c>
      <c r="F125">
        <v>0</v>
      </c>
      <c r="G125">
        <v>48.456617790000003</v>
      </c>
      <c r="H125">
        <v>0</v>
      </c>
      <c r="I125">
        <v>96</v>
      </c>
      <c r="J125">
        <v>54</v>
      </c>
      <c r="K125">
        <v>53</v>
      </c>
      <c r="L125">
        <v>0</v>
      </c>
      <c r="M125">
        <v>47</v>
      </c>
      <c r="N125">
        <v>0</v>
      </c>
      <c r="O125">
        <v>8.0313599999999994</v>
      </c>
      <c r="P125">
        <v>0.7722</v>
      </c>
      <c r="Q125">
        <v>0.40555600000000003</v>
      </c>
      <c r="R125">
        <v>0</v>
      </c>
      <c r="S125">
        <v>9.2091159999999999</v>
      </c>
    </row>
    <row r="126" spans="1:19">
      <c r="A126" t="s">
        <v>20</v>
      </c>
      <c r="B126">
        <v>5.7375986049999996</v>
      </c>
      <c r="C126">
        <v>3.3787408659999998</v>
      </c>
      <c r="D126">
        <v>9.4426789949999996</v>
      </c>
      <c r="E126">
        <v>2.1389939189999998</v>
      </c>
      <c r="F126">
        <v>2.6037508749999998</v>
      </c>
      <c r="G126">
        <v>8.7649706310000006</v>
      </c>
      <c r="H126">
        <v>0</v>
      </c>
      <c r="I126">
        <v>0</v>
      </c>
      <c r="J126">
        <v>0</v>
      </c>
      <c r="K126">
        <v>21</v>
      </c>
      <c r="L126">
        <v>24</v>
      </c>
      <c r="M126">
        <v>205</v>
      </c>
      <c r="N126">
        <v>0</v>
      </c>
      <c r="O126">
        <v>0</v>
      </c>
      <c r="P126">
        <v>0</v>
      </c>
      <c r="Q126">
        <v>0.160692</v>
      </c>
      <c r="R126">
        <v>2.1024000000000001E-2</v>
      </c>
      <c r="S126">
        <v>0.160692</v>
      </c>
    </row>
    <row r="127" spans="1:19">
      <c r="A127" t="s">
        <v>20</v>
      </c>
      <c r="B127">
        <v>36.625921480000002</v>
      </c>
      <c r="C127">
        <v>0.46214483099999998</v>
      </c>
      <c r="D127">
        <v>37.33764687</v>
      </c>
      <c r="E127">
        <v>36.225972349999999</v>
      </c>
      <c r="F127">
        <v>36.733848450000004</v>
      </c>
      <c r="G127">
        <v>36.206218249999999</v>
      </c>
      <c r="H127">
        <v>16</v>
      </c>
      <c r="I127">
        <v>0</v>
      </c>
      <c r="J127">
        <v>8</v>
      </c>
      <c r="K127">
        <v>147</v>
      </c>
      <c r="L127">
        <v>51</v>
      </c>
      <c r="M127">
        <v>28</v>
      </c>
      <c r="N127">
        <v>2.0900479999999999</v>
      </c>
      <c r="O127">
        <v>0</v>
      </c>
      <c r="P127">
        <v>0.1144</v>
      </c>
      <c r="Q127">
        <v>1.124844</v>
      </c>
      <c r="R127">
        <v>4.4676E-2</v>
      </c>
      <c r="S127">
        <v>3.3292920000000001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0B756-46CE-3F43-8523-41D55045BCD3}">
  <dimension ref="A1:AK201"/>
  <sheetViews>
    <sheetView topLeftCell="X1" workbookViewId="0">
      <selection activeCell="AL2" sqref="AL2:AR2"/>
    </sheetView>
  </sheetViews>
  <sheetFormatPr baseColWidth="10" defaultRowHeight="16"/>
  <sheetData>
    <row r="1" spans="1:37">
      <c r="A1" t="s">
        <v>0</v>
      </c>
      <c r="B1" t="s">
        <v>1</v>
      </c>
      <c r="C1" t="s">
        <v>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</v>
      </c>
      <c r="K1" t="s">
        <v>4</v>
      </c>
      <c r="L1" t="s">
        <v>5</v>
      </c>
      <c r="M1" t="s">
        <v>6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7</v>
      </c>
      <c r="AA1" t="s">
        <v>8</v>
      </c>
      <c r="AB1" t="s">
        <v>9</v>
      </c>
      <c r="AC1" t="s">
        <v>10</v>
      </c>
      <c r="AD1" t="s">
        <v>11</v>
      </c>
      <c r="AE1" t="s">
        <v>12</v>
      </c>
      <c r="AF1" t="s">
        <v>13</v>
      </c>
      <c r="AG1" t="s">
        <v>14</v>
      </c>
      <c r="AH1" t="s">
        <v>15</v>
      </c>
      <c r="AI1" t="s">
        <v>16</v>
      </c>
      <c r="AJ1" t="s">
        <v>17</v>
      </c>
      <c r="AK1" t="s">
        <v>18</v>
      </c>
    </row>
    <row r="2" spans="1:37">
      <c r="A2" t="s">
        <v>19</v>
      </c>
      <c r="B2">
        <v>42.999767849999998</v>
      </c>
      <c r="C2">
        <v>0.13015233700000001</v>
      </c>
      <c r="D2">
        <v>1.81378722</v>
      </c>
      <c r="E2">
        <v>4.1215790000000002E-3</v>
      </c>
      <c r="F2">
        <v>1.772039565</v>
      </c>
      <c r="G2">
        <v>4.6825909999999998E-3</v>
      </c>
      <c r="H2">
        <v>-4.1747655000000002E-2</v>
      </c>
      <c r="I2">
        <v>5.6585200000000004E-4</v>
      </c>
      <c r="J2">
        <v>43.111660839999999</v>
      </c>
      <c r="K2">
        <v>42.991731219999998</v>
      </c>
      <c r="L2">
        <v>42.790072709999997</v>
      </c>
      <c r="M2">
        <v>43.105606610000002</v>
      </c>
      <c r="N2">
        <v>1.820826187</v>
      </c>
      <c r="O2">
        <v>1.8122029500000001</v>
      </c>
      <c r="P2">
        <v>1.810347186</v>
      </c>
      <c r="Q2">
        <v>1.8117725570000001</v>
      </c>
      <c r="R2">
        <v>1.780055462</v>
      </c>
      <c r="S2">
        <v>1.770112495</v>
      </c>
      <c r="T2">
        <v>1.7682200610000001</v>
      </c>
      <c r="U2">
        <v>1.769770241</v>
      </c>
      <c r="V2">
        <v>-4.0770725000000001E-2</v>
      </c>
      <c r="W2">
        <v>-4.2090454999999999E-2</v>
      </c>
      <c r="X2">
        <v>-4.2127125000000001E-2</v>
      </c>
      <c r="Y2">
        <v>-4.2002315999999998E-2</v>
      </c>
      <c r="Z2">
        <v>34</v>
      </c>
      <c r="AA2">
        <v>30</v>
      </c>
      <c r="AB2">
        <v>44</v>
      </c>
      <c r="AC2">
        <v>39</v>
      </c>
      <c r="AD2">
        <v>20</v>
      </c>
      <c r="AE2">
        <v>83</v>
      </c>
      <c r="AF2">
        <v>2.04</v>
      </c>
      <c r="AG2">
        <v>1.2</v>
      </c>
      <c r="AH2">
        <v>0.62919999999999998</v>
      </c>
      <c r="AI2">
        <v>0.29842800000000003</v>
      </c>
      <c r="AJ2">
        <v>1.7520000000000001E-2</v>
      </c>
      <c r="AK2">
        <v>4.1851479999999999</v>
      </c>
    </row>
    <row r="3" spans="1:37">
      <c r="A3" t="s">
        <v>19</v>
      </c>
      <c r="B3">
        <v>22.633161919999999</v>
      </c>
      <c r="C3">
        <v>0.95936846499999995</v>
      </c>
      <c r="D3">
        <v>1.88799871</v>
      </c>
      <c r="E3">
        <v>4.2795209999999997E-3</v>
      </c>
      <c r="F3">
        <v>1.8081495489999999</v>
      </c>
      <c r="G3">
        <v>2.7974710000000002E-3</v>
      </c>
      <c r="H3">
        <v>-7.9849161000000002E-2</v>
      </c>
      <c r="I3">
        <v>1.6329409999999999E-3</v>
      </c>
      <c r="J3">
        <v>23.46348059</v>
      </c>
      <c r="K3">
        <v>23.282860070000002</v>
      </c>
      <c r="L3">
        <v>22.751870490000002</v>
      </c>
      <c r="M3">
        <v>21.03443652</v>
      </c>
      <c r="N3">
        <v>1.881224265</v>
      </c>
      <c r="O3">
        <v>1.887695312</v>
      </c>
      <c r="P3">
        <v>1.8904830909999999</v>
      </c>
      <c r="Q3">
        <v>1.892592171</v>
      </c>
      <c r="R3">
        <v>1.803576858</v>
      </c>
      <c r="S3">
        <v>1.8087860170000001</v>
      </c>
      <c r="T3">
        <v>1.809058922</v>
      </c>
      <c r="U3">
        <v>1.811176399</v>
      </c>
      <c r="V3">
        <v>-7.7647407000000002E-2</v>
      </c>
      <c r="W3">
        <v>-7.8909295000000004E-2</v>
      </c>
      <c r="X3">
        <v>-8.1424169000000005E-2</v>
      </c>
      <c r="Y3">
        <v>-8.1415771999999997E-2</v>
      </c>
      <c r="Z3">
        <v>0</v>
      </c>
      <c r="AA3">
        <v>10</v>
      </c>
      <c r="AB3">
        <v>13</v>
      </c>
      <c r="AC3">
        <v>33</v>
      </c>
      <c r="AD3">
        <v>112</v>
      </c>
      <c r="AE3">
        <v>82</v>
      </c>
      <c r="AF3">
        <v>0</v>
      </c>
      <c r="AG3">
        <v>0.4</v>
      </c>
      <c r="AH3">
        <v>0.18590000000000001</v>
      </c>
      <c r="AI3">
        <v>0.25251600000000002</v>
      </c>
      <c r="AJ3">
        <v>9.8112000000000005E-2</v>
      </c>
      <c r="AK3">
        <v>0.93652800000000003</v>
      </c>
    </row>
    <row r="4" spans="1:37">
      <c r="A4" t="s">
        <v>19</v>
      </c>
      <c r="B4">
        <v>3.468342727</v>
      </c>
      <c r="C4">
        <v>4.9049773229999998</v>
      </c>
      <c r="D4">
        <v>1.4342095459999999</v>
      </c>
      <c r="E4">
        <v>0.59037667500000002</v>
      </c>
      <c r="F4">
        <v>2.0208663869999999</v>
      </c>
      <c r="G4">
        <v>0.15037547500000001</v>
      </c>
      <c r="H4">
        <v>0.58665684100000004</v>
      </c>
      <c r="I4">
        <v>0.44003747999999998</v>
      </c>
      <c r="J4">
        <v>0</v>
      </c>
      <c r="K4">
        <v>0</v>
      </c>
      <c r="L4">
        <v>10.40502818</v>
      </c>
      <c r="M4">
        <v>10.573707199999999</v>
      </c>
      <c r="N4">
        <v>1.019976451</v>
      </c>
      <c r="O4">
        <v>1.01353223</v>
      </c>
      <c r="P4">
        <v>2.269119957</v>
      </c>
      <c r="Q4">
        <v>1.001456667</v>
      </c>
      <c r="R4">
        <v>1.918877062</v>
      </c>
      <c r="S4">
        <v>1.910250998</v>
      </c>
      <c r="T4">
        <v>2.2334711</v>
      </c>
      <c r="U4">
        <v>1.900825355</v>
      </c>
      <c r="V4">
        <v>0.89890061099999996</v>
      </c>
      <c r="W4">
        <v>0.89671876800000005</v>
      </c>
      <c r="X4">
        <v>-3.5648856999999999E-2</v>
      </c>
      <c r="Y4">
        <v>0.89936868800000003</v>
      </c>
      <c r="Z4">
        <v>13</v>
      </c>
      <c r="AA4">
        <v>38</v>
      </c>
      <c r="AB4">
        <v>111</v>
      </c>
      <c r="AC4">
        <v>32</v>
      </c>
      <c r="AD4">
        <v>0</v>
      </c>
      <c r="AE4">
        <v>56</v>
      </c>
      <c r="AF4">
        <v>0.78</v>
      </c>
      <c r="AG4">
        <v>1.52</v>
      </c>
      <c r="AH4">
        <v>1.5872999999999999</v>
      </c>
      <c r="AI4">
        <v>0.244864</v>
      </c>
      <c r="AJ4">
        <v>0</v>
      </c>
      <c r="AK4">
        <v>4.1321640000000004</v>
      </c>
    </row>
    <row r="5" spans="1:37">
      <c r="A5" t="s">
        <v>19</v>
      </c>
      <c r="B5">
        <v>22.934468649999999</v>
      </c>
      <c r="C5">
        <v>0.42451679599999997</v>
      </c>
      <c r="D5">
        <v>1.8719691249999999</v>
      </c>
      <c r="E5">
        <v>1.15121E-3</v>
      </c>
      <c r="F5">
        <v>1.807538248</v>
      </c>
      <c r="G5">
        <v>1.8256069999999999E-3</v>
      </c>
      <c r="H5">
        <v>-6.4430875999999998E-2</v>
      </c>
      <c r="I5">
        <v>1.7526429999999999E-3</v>
      </c>
      <c r="J5">
        <v>22.428785779999998</v>
      </c>
      <c r="K5">
        <v>22.615964730000002</v>
      </c>
      <c r="L5">
        <v>23.236889309999999</v>
      </c>
      <c r="M5">
        <v>23.456234760000001</v>
      </c>
      <c r="N5">
        <v>1.870890165</v>
      </c>
      <c r="O5">
        <v>1.872309217</v>
      </c>
      <c r="P5">
        <v>1.870969551</v>
      </c>
      <c r="Q5">
        <v>1.8737075649999999</v>
      </c>
      <c r="R5">
        <v>1.8091180250000001</v>
      </c>
      <c r="S5">
        <v>1.808164721</v>
      </c>
      <c r="T5">
        <v>1.804433945</v>
      </c>
      <c r="U5">
        <v>1.8084363020000001</v>
      </c>
      <c r="V5">
        <v>-6.1772140000000003E-2</v>
      </c>
      <c r="W5">
        <v>-6.4144495999999995E-2</v>
      </c>
      <c r="X5">
        <v>-6.6535605999999997E-2</v>
      </c>
      <c r="Y5">
        <v>-6.5271262999999996E-2</v>
      </c>
      <c r="Z5">
        <v>0</v>
      </c>
      <c r="AA5">
        <v>8</v>
      </c>
      <c r="AB5">
        <v>32</v>
      </c>
      <c r="AC5">
        <v>76</v>
      </c>
      <c r="AD5">
        <v>47</v>
      </c>
      <c r="AE5">
        <v>87</v>
      </c>
      <c r="AF5">
        <v>0</v>
      </c>
      <c r="AG5">
        <v>0.32</v>
      </c>
      <c r="AH5">
        <v>0.45760000000000001</v>
      </c>
      <c r="AI5">
        <v>0.58155199999999996</v>
      </c>
      <c r="AJ5">
        <v>4.1172E-2</v>
      </c>
      <c r="AK5">
        <v>1.4003239999999999</v>
      </c>
    </row>
    <row r="6" spans="1:37">
      <c r="A6" t="s">
        <v>19</v>
      </c>
      <c r="B6">
        <v>27.27065035</v>
      </c>
      <c r="C6">
        <v>2.9086419110000001</v>
      </c>
      <c r="D6">
        <v>1.7826188270000001</v>
      </c>
      <c r="E6">
        <v>2.2426232000000001E-2</v>
      </c>
      <c r="F6">
        <v>1.744901719</v>
      </c>
      <c r="G6">
        <v>1.0836561999999999E-2</v>
      </c>
      <c r="H6">
        <v>-3.7717107E-2</v>
      </c>
      <c r="I6">
        <v>1.1950769999999999E-2</v>
      </c>
      <c r="J6">
        <v>19.166356560000001</v>
      </c>
      <c r="K6">
        <v>23.191094490000001</v>
      </c>
      <c r="L6">
        <v>29.766733720000001</v>
      </c>
      <c r="M6">
        <v>28.854122830000001</v>
      </c>
      <c r="N6">
        <v>1.7487449289999999</v>
      </c>
      <c r="O6">
        <v>1.750935001</v>
      </c>
      <c r="P6">
        <v>1.7996876070000001</v>
      </c>
      <c r="Q6">
        <v>1.7972338720000001</v>
      </c>
      <c r="R6">
        <v>1.730210145</v>
      </c>
      <c r="S6">
        <v>1.7299870230000001</v>
      </c>
      <c r="T6">
        <v>1.7554103759999999</v>
      </c>
      <c r="U6">
        <v>1.7493077589999999</v>
      </c>
      <c r="V6">
        <v>-1.8534783999999999E-2</v>
      </c>
      <c r="W6">
        <v>-2.0947977999999999E-2</v>
      </c>
      <c r="X6">
        <v>-4.4277231E-2</v>
      </c>
      <c r="Y6">
        <v>-4.7926112999999999E-2</v>
      </c>
      <c r="Z6">
        <v>13</v>
      </c>
      <c r="AA6">
        <v>32</v>
      </c>
      <c r="AB6">
        <v>52</v>
      </c>
      <c r="AC6">
        <v>123</v>
      </c>
      <c r="AD6">
        <v>20</v>
      </c>
      <c r="AE6">
        <v>10</v>
      </c>
      <c r="AF6">
        <v>0.78</v>
      </c>
      <c r="AG6">
        <v>1.28</v>
      </c>
      <c r="AH6">
        <v>0.74360000000000004</v>
      </c>
      <c r="AI6">
        <v>0.94119600000000003</v>
      </c>
      <c r="AJ6">
        <v>1.7520000000000001E-2</v>
      </c>
      <c r="AK6">
        <v>3.7623160000000002</v>
      </c>
    </row>
    <row r="7" spans="1:37">
      <c r="A7" t="s">
        <v>20</v>
      </c>
      <c r="B7">
        <v>0</v>
      </c>
      <c r="C7">
        <v>0</v>
      </c>
      <c r="D7">
        <v>1.053195377</v>
      </c>
      <c r="E7">
        <v>8.1384072000000002E-2</v>
      </c>
      <c r="F7">
        <v>1.950705717</v>
      </c>
      <c r="G7">
        <v>7.9935814999999993E-2</v>
      </c>
      <c r="H7">
        <v>0.89751033999999996</v>
      </c>
      <c r="I7">
        <v>1.851405E-3</v>
      </c>
      <c r="J7">
        <v>0</v>
      </c>
      <c r="K7">
        <v>0</v>
      </c>
      <c r="L7">
        <v>0</v>
      </c>
      <c r="M7">
        <v>0</v>
      </c>
      <c r="N7">
        <v>1.0017534619999999</v>
      </c>
      <c r="O7">
        <v>1.0058731329999999</v>
      </c>
      <c r="P7">
        <v>1.0111153770000001</v>
      </c>
      <c r="Q7">
        <v>1.194039536</v>
      </c>
      <c r="R7">
        <v>1.900921504</v>
      </c>
      <c r="S7">
        <v>1.9023824709999999</v>
      </c>
      <c r="T7">
        <v>1.910504762</v>
      </c>
      <c r="U7">
        <v>2.0890141299999998</v>
      </c>
      <c r="V7">
        <v>0.899168042</v>
      </c>
      <c r="W7">
        <v>0.89650933799999999</v>
      </c>
      <c r="X7">
        <v>0.89938938499999999</v>
      </c>
      <c r="Y7">
        <v>0.89497459400000001</v>
      </c>
      <c r="Z7">
        <v>64</v>
      </c>
      <c r="AA7">
        <v>25</v>
      </c>
      <c r="AB7">
        <v>93</v>
      </c>
      <c r="AC7">
        <v>6</v>
      </c>
      <c r="AD7">
        <v>15</v>
      </c>
      <c r="AE7">
        <v>47</v>
      </c>
      <c r="AF7">
        <v>3.84</v>
      </c>
      <c r="AG7">
        <v>1</v>
      </c>
      <c r="AH7">
        <v>1.3299000000000001</v>
      </c>
      <c r="AI7">
        <v>4.5912000000000001E-2</v>
      </c>
      <c r="AJ7">
        <v>1.3140000000000001E-2</v>
      </c>
      <c r="AK7">
        <v>6.2289519999999996</v>
      </c>
    </row>
    <row r="8" spans="1:37">
      <c r="A8" t="s">
        <v>20</v>
      </c>
      <c r="B8">
        <v>48.301863560000001</v>
      </c>
      <c r="C8">
        <v>0.476151502</v>
      </c>
      <c r="D8">
        <v>1.7673891719999999</v>
      </c>
      <c r="E8">
        <v>7.5042260000000001E-3</v>
      </c>
      <c r="F8">
        <v>1.7406663899999999</v>
      </c>
      <c r="G8">
        <v>7.2943879999999997E-3</v>
      </c>
      <c r="H8">
        <v>-2.6722782E-2</v>
      </c>
      <c r="I8">
        <v>5.9144299999999998E-4</v>
      </c>
      <c r="J8">
        <v>49.116545379999998</v>
      </c>
      <c r="K8">
        <v>48.052198410000003</v>
      </c>
      <c r="L8">
        <v>48.12235991</v>
      </c>
      <c r="M8">
        <v>47.916350530000003</v>
      </c>
      <c r="N8">
        <v>1.779397058</v>
      </c>
      <c r="O8">
        <v>1.7680747539999999</v>
      </c>
      <c r="P8">
        <v>1.76091547</v>
      </c>
      <c r="Q8">
        <v>1.761169406</v>
      </c>
      <c r="R8">
        <v>1.7520697030000001</v>
      </c>
      <c r="S8">
        <v>1.7419679450000001</v>
      </c>
      <c r="T8">
        <v>1.734758925</v>
      </c>
      <c r="U8">
        <v>1.733868988</v>
      </c>
      <c r="V8">
        <v>-2.7327355000000001E-2</v>
      </c>
      <c r="W8">
        <v>-2.6106809000000002E-2</v>
      </c>
      <c r="X8">
        <v>-2.6156545E-2</v>
      </c>
      <c r="Y8">
        <v>-2.7300418E-2</v>
      </c>
      <c r="Z8">
        <v>18</v>
      </c>
      <c r="AA8">
        <v>67</v>
      </c>
      <c r="AB8">
        <v>38</v>
      </c>
      <c r="AC8">
        <v>31</v>
      </c>
      <c r="AD8">
        <v>17</v>
      </c>
      <c r="AE8">
        <v>79</v>
      </c>
      <c r="AF8">
        <v>1.08</v>
      </c>
      <c r="AG8">
        <v>2.68</v>
      </c>
      <c r="AH8">
        <v>0.54339999999999999</v>
      </c>
      <c r="AI8">
        <v>0.23721200000000001</v>
      </c>
      <c r="AJ8">
        <v>1.4892000000000001E-2</v>
      </c>
      <c r="AK8">
        <v>4.555504</v>
      </c>
    </row>
    <row r="9" spans="1:37">
      <c r="A9" t="s">
        <v>20</v>
      </c>
      <c r="B9">
        <v>52.607863369999997</v>
      </c>
      <c r="C9">
        <v>0.84642612699999997</v>
      </c>
      <c r="D9">
        <v>1.798119016</v>
      </c>
      <c r="E9">
        <v>2.757734E-3</v>
      </c>
      <c r="F9">
        <v>1.7640462610000001</v>
      </c>
      <c r="G9">
        <v>2.2336090000000001E-3</v>
      </c>
      <c r="H9">
        <v>-3.4072755000000003E-2</v>
      </c>
      <c r="I9">
        <v>2.0384280000000001E-3</v>
      </c>
      <c r="J9">
        <v>53.909572189999999</v>
      </c>
      <c r="K9">
        <v>51.735127509999998</v>
      </c>
      <c r="L9">
        <v>51.994863330000001</v>
      </c>
      <c r="M9">
        <v>52.791890469999998</v>
      </c>
      <c r="N9">
        <v>1.802203169</v>
      </c>
      <c r="O9">
        <v>1.7967025089999999</v>
      </c>
      <c r="P9">
        <v>1.794763383</v>
      </c>
      <c r="Q9">
        <v>1.7988070030000001</v>
      </c>
      <c r="R9">
        <v>1.767496406</v>
      </c>
      <c r="S9">
        <v>1.764466149</v>
      </c>
      <c r="T9">
        <v>1.762551505</v>
      </c>
      <c r="U9">
        <v>1.7616709850000001</v>
      </c>
      <c r="V9">
        <v>-3.4706763000000002E-2</v>
      </c>
      <c r="W9">
        <v>-3.2236359999999999E-2</v>
      </c>
      <c r="X9">
        <v>-3.2211877999999999E-2</v>
      </c>
      <c r="Y9">
        <v>-3.7136018E-2</v>
      </c>
      <c r="Z9">
        <v>70</v>
      </c>
      <c r="AA9">
        <v>19</v>
      </c>
      <c r="AB9">
        <v>15</v>
      </c>
      <c r="AC9">
        <v>24</v>
      </c>
      <c r="AD9">
        <v>43</v>
      </c>
      <c r="AE9">
        <v>79</v>
      </c>
      <c r="AF9">
        <v>4.2</v>
      </c>
      <c r="AG9">
        <v>0.76</v>
      </c>
      <c r="AH9">
        <v>0.2145</v>
      </c>
      <c r="AI9">
        <v>0.18364800000000001</v>
      </c>
      <c r="AJ9">
        <v>3.7668E-2</v>
      </c>
      <c r="AK9">
        <v>5.3958159999999999</v>
      </c>
    </row>
    <row r="10" spans="1:37">
      <c r="A10" t="s">
        <v>20</v>
      </c>
      <c r="B10">
        <v>11.997946819999999</v>
      </c>
      <c r="C10">
        <v>16.96765911</v>
      </c>
      <c r="D10">
        <v>1.407572153</v>
      </c>
      <c r="E10">
        <v>0.559140478</v>
      </c>
      <c r="F10">
        <v>1.984128699</v>
      </c>
      <c r="G10">
        <v>0.117186033</v>
      </c>
      <c r="H10">
        <v>0.57655654599999995</v>
      </c>
      <c r="I10">
        <v>0.44196698200000001</v>
      </c>
      <c r="J10">
        <v>0</v>
      </c>
      <c r="K10">
        <v>35.99384045</v>
      </c>
      <c r="L10">
        <v>36.251079939999997</v>
      </c>
      <c r="M10">
        <v>0</v>
      </c>
      <c r="N10">
        <v>1.0015487089999999</v>
      </c>
      <c r="O10">
        <v>2.1982196740000002</v>
      </c>
      <c r="P10">
        <v>2.1763028229999999</v>
      </c>
      <c r="Q10">
        <v>1.022948075</v>
      </c>
      <c r="R10">
        <v>1.9008898860000001</v>
      </c>
      <c r="S10">
        <v>2.1498542070000002</v>
      </c>
      <c r="T10">
        <v>2.1390517689999999</v>
      </c>
      <c r="U10">
        <v>1.9016420039999999</v>
      </c>
      <c r="V10">
        <v>0.89934117700000005</v>
      </c>
      <c r="W10">
        <v>-4.8365467000000002E-2</v>
      </c>
      <c r="X10">
        <v>-3.7251053999999999E-2</v>
      </c>
      <c r="Y10">
        <v>0.87869392899999998</v>
      </c>
      <c r="Z10">
        <v>36</v>
      </c>
      <c r="AA10">
        <v>0</v>
      </c>
      <c r="AB10">
        <v>53</v>
      </c>
      <c r="AC10">
        <v>89</v>
      </c>
      <c r="AD10">
        <v>53</v>
      </c>
      <c r="AE10">
        <v>19</v>
      </c>
      <c r="AF10">
        <v>2.16</v>
      </c>
      <c r="AG10">
        <v>0</v>
      </c>
      <c r="AH10">
        <v>0.75790000000000002</v>
      </c>
      <c r="AI10">
        <v>0.68102799999999997</v>
      </c>
      <c r="AJ10">
        <v>4.6427999999999997E-2</v>
      </c>
      <c r="AK10">
        <v>3.645356</v>
      </c>
    </row>
    <row r="11" spans="1:37">
      <c r="A11" t="s">
        <v>20</v>
      </c>
      <c r="B11">
        <v>18.42912845</v>
      </c>
      <c r="C11">
        <v>1.648488409</v>
      </c>
      <c r="D11">
        <v>1.942833552</v>
      </c>
      <c r="E11">
        <v>2.9514142E-2</v>
      </c>
      <c r="F11">
        <v>1.9271171300000001</v>
      </c>
      <c r="G11">
        <v>3.2244476000000001E-2</v>
      </c>
      <c r="H11">
        <v>-1.5716422000000001E-2</v>
      </c>
      <c r="I11">
        <v>4.0717089999999997E-3</v>
      </c>
      <c r="J11">
        <v>0</v>
      </c>
      <c r="K11">
        <v>18.109143790000001</v>
      </c>
      <c r="L11">
        <v>16.589251180000002</v>
      </c>
      <c r="M11">
        <v>20.588990379999998</v>
      </c>
      <c r="N11">
        <v>1.1411560080000001</v>
      </c>
      <c r="O11">
        <v>1.983725041</v>
      </c>
      <c r="P11">
        <v>1.929636353</v>
      </c>
      <c r="Q11">
        <v>1.915139261</v>
      </c>
      <c r="R11">
        <v>2.0391968199999999</v>
      </c>
      <c r="S11">
        <v>1.9724715930000001</v>
      </c>
      <c r="T11">
        <v>1.908537315</v>
      </c>
      <c r="U11">
        <v>1.9003424820000001</v>
      </c>
      <c r="V11">
        <v>0.89804081199999997</v>
      </c>
      <c r="W11">
        <v>-1.1253447999999999E-2</v>
      </c>
      <c r="X11">
        <v>-2.1099038000000001E-2</v>
      </c>
      <c r="Y11">
        <v>-1.4796778999999999E-2</v>
      </c>
      <c r="Z11">
        <v>83</v>
      </c>
      <c r="AA11">
        <v>16</v>
      </c>
      <c r="AB11">
        <v>63</v>
      </c>
      <c r="AC11">
        <v>68</v>
      </c>
      <c r="AD11">
        <v>18</v>
      </c>
      <c r="AE11">
        <v>2</v>
      </c>
      <c r="AF11">
        <v>4.9800000000000004</v>
      </c>
      <c r="AG11">
        <v>0.64</v>
      </c>
      <c r="AH11">
        <v>0.90090000000000003</v>
      </c>
      <c r="AI11">
        <v>0.52033600000000002</v>
      </c>
      <c r="AJ11">
        <v>1.5768000000000001E-2</v>
      </c>
      <c r="AK11">
        <v>7.0570040000000001</v>
      </c>
    </row>
    <row r="12" spans="1:37">
      <c r="A12" t="s">
        <v>20</v>
      </c>
      <c r="B12">
        <v>52.566065260000002</v>
      </c>
      <c r="C12">
        <v>1.8695264110000001</v>
      </c>
      <c r="D12">
        <v>1.774470115</v>
      </c>
      <c r="E12">
        <v>6.4897549999999998E-3</v>
      </c>
      <c r="F12">
        <v>1.747508463</v>
      </c>
      <c r="G12">
        <v>7.4009399999999999E-3</v>
      </c>
      <c r="H12">
        <v>-2.6961651999999999E-2</v>
      </c>
      <c r="I12">
        <v>1.035727E-3</v>
      </c>
      <c r="J12">
        <v>49.972031880000003</v>
      </c>
      <c r="K12">
        <v>51.97707157</v>
      </c>
      <c r="L12">
        <v>53.198735040000003</v>
      </c>
      <c r="M12">
        <v>55.116422530000001</v>
      </c>
      <c r="N12">
        <v>1.7775280280000001</v>
      </c>
      <c r="O12">
        <v>1.776231831</v>
      </c>
      <c r="P12">
        <v>1.780557323</v>
      </c>
      <c r="Q12">
        <v>1.7635632779999999</v>
      </c>
      <c r="R12">
        <v>1.750190119</v>
      </c>
      <c r="S12">
        <v>1.750178834</v>
      </c>
      <c r="T12">
        <v>1.7545908160000001</v>
      </c>
      <c r="U12">
        <v>1.7350740840000001</v>
      </c>
      <c r="V12">
        <v>-2.7337909000000001E-2</v>
      </c>
      <c r="W12">
        <v>-2.6052997000000001E-2</v>
      </c>
      <c r="X12">
        <v>-2.5966507E-2</v>
      </c>
      <c r="Y12">
        <v>-2.8489193999999999E-2</v>
      </c>
      <c r="Z12">
        <v>28</v>
      </c>
      <c r="AA12">
        <v>69</v>
      </c>
      <c r="AB12">
        <v>5</v>
      </c>
      <c r="AC12">
        <v>45</v>
      </c>
      <c r="AD12">
        <v>34</v>
      </c>
      <c r="AE12">
        <v>69</v>
      </c>
      <c r="AF12">
        <v>1.68</v>
      </c>
      <c r="AG12">
        <v>2.76</v>
      </c>
      <c r="AH12">
        <v>7.1499999999999994E-2</v>
      </c>
      <c r="AI12">
        <v>0.34433999999999998</v>
      </c>
      <c r="AJ12">
        <v>2.9784000000000001E-2</v>
      </c>
      <c r="AK12">
        <v>4.885624</v>
      </c>
    </row>
    <row r="13" spans="1:37">
      <c r="A13" t="s">
        <v>20</v>
      </c>
      <c r="B13">
        <v>28.376557170000002</v>
      </c>
      <c r="C13">
        <v>1.0287238460000001</v>
      </c>
      <c r="D13">
        <v>2.1107115219999999</v>
      </c>
      <c r="E13">
        <v>8.2537704000000003E-2</v>
      </c>
      <c r="F13">
        <v>2.0500459929999999</v>
      </c>
      <c r="G13">
        <v>8.1857704000000003E-2</v>
      </c>
      <c r="H13">
        <v>-6.0665529000000003E-2</v>
      </c>
      <c r="I13">
        <v>1.4536200000000001E-3</v>
      </c>
      <c r="J13">
        <v>27.961904530000002</v>
      </c>
      <c r="K13">
        <v>26.94117705</v>
      </c>
      <c r="L13">
        <v>28.92109525</v>
      </c>
      <c r="M13">
        <v>29.682051860000001</v>
      </c>
      <c r="N13">
        <v>2.1478116890000001</v>
      </c>
      <c r="O13">
        <v>2.1629415139999999</v>
      </c>
      <c r="P13">
        <v>1.968180316</v>
      </c>
      <c r="Q13">
        <v>2.1639125689999998</v>
      </c>
      <c r="R13">
        <v>2.087147308</v>
      </c>
      <c r="S13">
        <v>2.0999018839999999</v>
      </c>
      <c r="T13">
        <v>1.908690325</v>
      </c>
      <c r="U13">
        <v>2.1044444549999999</v>
      </c>
      <c r="V13">
        <v>-6.0664381000000003E-2</v>
      </c>
      <c r="W13">
        <v>-6.3039629999999999E-2</v>
      </c>
      <c r="X13">
        <v>-5.9489990999999999E-2</v>
      </c>
      <c r="Y13">
        <v>-5.9468114000000002E-2</v>
      </c>
      <c r="Z13">
        <v>12</v>
      </c>
      <c r="AA13">
        <v>0</v>
      </c>
      <c r="AB13">
        <v>47</v>
      </c>
      <c r="AC13">
        <v>56</v>
      </c>
      <c r="AD13">
        <v>28</v>
      </c>
      <c r="AE13">
        <v>107</v>
      </c>
      <c r="AF13">
        <v>0.72</v>
      </c>
      <c r="AG13">
        <v>0</v>
      </c>
      <c r="AH13">
        <v>0.67210000000000003</v>
      </c>
      <c r="AI13">
        <v>0.428512</v>
      </c>
      <c r="AJ13">
        <v>2.4528000000000001E-2</v>
      </c>
      <c r="AK13">
        <v>1.84514</v>
      </c>
    </row>
    <row r="14" spans="1:37">
      <c r="A14" t="s">
        <v>20</v>
      </c>
      <c r="B14">
        <v>4.3775252059999996</v>
      </c>
      <c r="C14">
        <v>2.8211785999999999E-2</v>
      </c>
      <c r="D14">
        <v>1.4712521220000001</v>
      </c>
      <c r="E14">
        <v>5.9437750000000001E-3</v>
      </c>
      <c r="F14">
        <v>1.374605388</v>
      </c>
      <c r="G14">
        <v>4.7149699999999998E-3</v>
      </c>
      <c r="H14">
        <v>-9.6646734999999998E-2</v>
      </c>
      <c r="I14">
        <v>4.3107659999999997E-3</v>
      </c>
      <c r="J14">
        <v>4.3499532920000004</v>
      </c>
      <c r="K14">
        <v>4.4240834040000001</v>
      </c>
      <c r="L14">
        <v>4.3618878109999999</v>
      </c>
      <c r="M14">
        <v>4.3741763149999997</v>
      </c>
      <c r="N14">
        <v>1.4809946759999999</v>
      </c>
      <c r="O14">
        <v>1.4689463760000001</v>
      </c>
      <c r="P14">
        <v>1.4701247589999999</v>
      </c>
      <c r="Q14">
        <v>1.4649426780000001</v>
      </c>
      <c r="R14">
        <v>1.3812736249999999</v>
      </c>
      <c r="S14">
        <v>1.3679709229999999</v>
      </c>
      <c r="T14">
        <v>1.374118567</v>
      </c>
      <c r="U14">
        <v>1.375058436</v>
      </c>
      <c r="V14">
        <v>-9.9721051000000005E-2</v>
      </c>
      <c r="W14">
        <v>-0.10097545300000001</v>
      </c>
      <c r="X14">
        <v>-9.6006192000000004E-2</v>
      </c>
      <c r="Y14">
        <v>-8.9884242000000003E-2</v>
      </c>
      <c r="Z14">
        <v>0</v>
      </c>
      <c r="AA14">
        <v>0</v>
      </c>
      <c r="AB14">
        <v>0</v>
      </c>
      <c r="AC14">
        <v>30</v>
      </c>
      <c r="AD14">
        <v>152</v>
      </c>
      <c r="AE14">
        <v>68</v>
      </c>
      <c r="AF14">
        <v>0</v>
      </c>
      <c r="AG14">
        <v>0</v>
      </c>
      <c r="AH14">
        <v>0</v>
      </c>
      <c r="AI14">
        <v>0.22955999999999999</v>
      </c>
      <c r="AJ14">
        <v>0.13315199999999999</v>
      </c>
      <c r="AK14">
        <v>0.36271199999999998</v>
      </c>
    </row>
    <row r="15" spans="1:37">
      <c r="A15" t="s">
        <v>20</v>
      </c>
      <c r="B15">
        <v>21.663360839999999</v>
      </c>
      <c r="C15">
        <v>3.8866578770000002</v>
      </c>
      <c r="D15">
        <v>1.766117967</v>
      </c>
      <c r="E15">
        <v>1.0763857E-2</v>
      </c>
      <c r="F15">
        <v>1.764851306</v>
      </c>
      <c r="G15">
        <v>1.0339928E-2</v>
      </c>
      <c r="H15">
        <v>-1.2666610000000001E-3</v>
      </c>
      <c r="I15">
        <v>1.0038162E-2</v>
      </c>
      <c r="J15">
        <v>26.911394099999999</v>
      </c>
      <c r="K15">
        <v>17.624150109999999</v>
      </c>
      <c r="L15">
        <v>20.454538299999999</v>
      </c>
      <c r="M15">
        <v>30.49108936</v>
      </c>
      <c r="N15">
        <v>1.7556640560000001</v>
      </c>
      <c r="O15">
        <v>1.761762244</v>
      </c>
      <c r="P15">
        <v>1.7809276009999999</v>
      </c>
      <c r="Q15">
        <v>1.765441072</v>
      </c>
      <c r="R15">
        <v>1.750456596</v>
      </c>
      <c r="S15">
        <v>1.7742769780000001</v>
      </c>
      <c r="T15">
        <v>1.769820344</v>
      </c>
      <c r="U15">
        <v>1.7602292150000001</v>
      </c>
      <c r="V15">
        <v>-5.2074599999999997E-3</v>
      </c>
      <c r="W15">
        <v>1.2514734E-2</v>
      </c>
      <c r="X15">
        <v>-1.1107257000000001E-2</v>
      </c>
      <c r="Y15">
        <v>-5.2118570000000003E-3</v>
      </c>
      <c r="Z15">
        <v>127</v>
      </c>
      <c r="AA15">
        <v>38</v>
      </c>
      <c r="AB15">
        <v>34</v>
      </c>
      <c r="AC15">
        <v>5</v>
      </c>
      <c r="AD15">
        <v>13</v>
      </c>
      <c r="AE15">
        <v>33</v>
      </c>
      <c r="AF15">
        <v>7.62</v>
      </c>
      <c r="AG15">
        <v>1.52</v>
      </c>
      <c r="AH15">
        <v>0.48620000000000002</v>
      </c>
      <c r="AI15">
        <v>3.8260000000000002E-2</v>
      </c>
      <c r="AJ15">
        <v>1.1388000000000001E-2</v>
      </c>
      <c r="AK15">
        <v>9.6758480000000002</v>
      </c>
    </row>
    <row r="16" spans="1:37">
      <c r="A16" t="s">
        <v>20</v>
      </c>
      <c r="B16">
        <v>29.876705879999999</v>
      </c>
      <c r="C16">
        <v>1.1904217969999999</v>
      </c>
      <c r="D16">
        <v>1.761095667</v>
      </c>
      <c r="E16">
        <v>3.8246370000000001E-3</v>
      </c>
      <c r="F16">
        <v>1.751049232</v>
      </c>
      <c r="G16">
        <v>5.4516970000000001E-3</v>
      </c>
      <c r="H16">
        <v>-1.0046434E-2</v>
      </c>
      <c r="I16">
        <v>4.3638790000000002E-3</v>
      </c>
      <c r="J16">
        <v>29.368903769999999</v>
      </c>
      <c r="K16">
        <v>28.608191519999998</v>
      </c>
      <c r="L16">
        <v>29.710403490000001</v>
      </c>
      <c r="M16">
        <v>31.81932475</v>
      </c>
      <c r="N16">
        <v>1.757539368</v>
      </c>
      <c r="O16">
        <v>1.764488651</v>
      </c>
      <c r="P16">
        <v>1.7653209009999999</v>
      </c>
      <c r="Q16">
        <v>1.7570337469999999</v>
      </c>
      <c r="R16">
        <v>1.743821533</v>
      </c>
      <c r="S16">
        <v>1.749473015</v>
      </c>
      <c r="T16">
        <v>1.759015277</v>
      </c>
      <c r="U16">
        <v>1.751887105</v>
      </c>
      <c r="V16">
        <v>-1.3717834999999999E-2</v>
      </c>
      <c r="W16">
        <v>-1.5015636000000001E-2</v>
      </c>
      <c r="X16">
        <v>-6.3056240000000001E-3</v>
      </c>
      <c r="Y16">
        <v>-5.1466419999999999E-3</v>
      </c>
      <c r="Z16">
        <v>56</v>
      </c>
      <c r="AA16">
        <v>95</v>
      </c>
      <c r="AB16">
        <v>30</v>
      </c>
      <c r="AC16">
        <v>18</v>
      </c>
      <c r="AD16">
        <v>45</v>
      </c>
      <c r="AE16">
        <v>6</v>
      </c>
      <c r="AF16">
        <v>3.36</v>
      </c>
      <c r="AG16">
        <v>3.8</v>
      </c>
      <c r="AH16">
        <v>0.42899999999999999</v>
      </c>
      <c r="AI16">
        <v>0.137736</v>
      </c>
      <c r="AJ16">
        <v>3.9419999999999997E-2</v>
      </c>
      <c r="AK16">
        <v>7.7661559999999996</v>
      </c>
    </row>
    <row r="17" spans="1:37">
      <c r="A17" t="s">
        <v>20</v>
      </c>
      <c r="B17">
        <v>48.396598519999998</v>
      </c>
      <c r="C17">
        <v>3.9976901929999999</v>
      </c>
      <c r="D17">
        <v>1.821438804</v>
      </c>
      <c r="E17">
        <v>4.0373969999999999E-3</v>
      </c>
      <c r="F17">
        <v>1.7851448560000001</v>
      </c>
      <c r="G17">
        <v>3.622985E-3</v>
      </c>
      <c r="H17">
        <v>-3.6293947999999999E-2</v>
      </c>
      <c r="I17">
        <v>1.039828E-3</v>
      </c>
      <c r="J17">
        <v>45.00305255</v>
      </c>
      <c r="K17">
        <v>46.403256489999997</v>
      </c>
      <c r="L17">
        <v>46.971349770000003</v>
      </c>
      <c r="M17">
        <v>55.208735249999997</v>
      </c>
      <c r="N17">
        <v>1.8192658850000001</v>
      </c>
      <c r="O17">
        <v>1.828427499</v>
      </c>
      <c r="P17">
        <v>1.818884274</v>
      </c>
      <c r="Q17">
        <v>1.8191775569999999</v>
      </c>
      <c r="R17">
        <v>1.783257804</v>
      </c>
      <c r="S17">
        <v>1.7911816309999999</v>
      </c>
      <c r="T17">
        <v>1.781675296</v>
      </c>
      <c r="U17">
        <v>1.7844646909999999</v>
      </c>
      <c r="V17">
        <v>-3.6008080999999997E-2</v>
      </c>
      <c r="W17">
        <v>-3.7245868000000001E-2</v>
      </c>
      <c r="X17">
        <v>-3.7208977999999997E-2</v>
      </c>
      <c r="Y17">
        <v>-3.4712866000000002E-2</v>
      </c>
      <c r="Z17">
        <v>67</v>
      </c>
      <c r="AA17">
        <v>17</v>
      </c>
      <c r="AB17">
        <v>9</v>
      </c>
      <c r="AC17">
        <v>32</v>
      </c>
      <c r="AD17">
        <v>37</v>
      </c>
      <c r="AE17">
        <v>88</v>
      </c>
      <c r="AF17">
        <v>4.0199999999999996</v>
      </c>
      <c r="AG17">
        <v>0.68</v>
      </c>
      <c r="AH17">
        <v>0.12870000000000001</v>
      </c>
      <c r="AI17">
        <v>0.244864</v>
      </c>
      <c r="AJ17">
        <v>3.2412000000000003E-2</v>
      </c>
      <c r="AK17">
        <v>5.1059760000000001</v>
      </c>
    </row>
    <row r="18" spans="1:37">
      <c r="A18" t="s">
        <v>20</v>
      </c>
      <c r="B18">
        <v>14.68473468</v>
      </c>
      <c r="C18">
        <v>0.234168394</v>
      </c>
      <c r="D18">
        <v>1.7452791489999999</v>
      </c>
      <c r="E18">
        <v>2.023923E-3</v>
      </c>
      <c r="F18">
        <v>1.729621045</v>
      </c>
      <c r="G18">
        <v>3.5753289999999999E-3</v>
      </c>
      <c r="H18">
        <v>-1.5658103E-2</v>
      </c>
      <c r="I18">
        <v>1.825601E-3</v>
      </c>
      <c r="J18">
        <v>14.38277253</v>
      </c>
      <c r="K18">
        <v>14.565458659999999</v>
      </c>
      <c r="L18">
        <v>14.78308032</v>
      </c>
      <c r="M18">
        <v>15.007627189999999</v>
      </c>
      <c r="N18">
        <v>1.742220989</v>
      </c>
      <c r="O18">
        <v>1.747772034</v>
      </c>
      <c r="P18">
        <v>1.7449879909999999</v>
      </c>
      <c r="Q18">
        <v>1.74613558</v>
      </c>
      <c r="R18">
        <v>1.723526235</v>
      </c>
      <c r="S18">
        <v>1.7326855350000001</v>
      </c>
      <c r="T18">
        <v>1.7311727699999999</v>
      </c>
      <c r="U18">
        <v>1.7310996409999999</v>
      </c>
      <c r="V18">
        <v>-1.8694754000000001E-2</v>
      </c>
      <c r="W18">
        <v>-1.5086499E-2</v>
      </c>
      <c r="X18">
        <v>-1.3815221000000001E-2</v>
      </c>
      <c r="Y18">
        <v>-1.5035939E-2</v>
      </c>
      <c r="Z18">
        <v>139</v>
      </c>
      <c r="AA18">
        <v>62</v>
      </c>
      <c r="AB18">
        <v>27</v>
      </c>
      <c r="AC18">
        <v>9</v>
      </c>
      <c r="AD18">
        <v>12</v>
      </c>
      <c r="AE18">
        <v>1</v>
      </c>
      <c r="AF18">
        <v>8.34</v>
      </c>
      <c r="AG18">
        <v>2.48</v>
      </c>
      <c r="AH18">
        <v>0.3861</v>
      </c>
      <c r="AI18">
        <v>6.8867999999999999E-2</v>
      </c>
      <c r="AJ18">
        <v>1.0512000000000001E-2</v>
      </c>
      <c r="AK18">
        <v>11.28548</v>
      </c>
    </row>
    <row r="19" spans="1:37">
      <c r="A19" t="s">
        <v>20</v>
      </c>
      <c r="B19">
        <v>35.644706880000001</v>
      </c>
      <c r="C19">
        <v>0.419540898</v>
      </c>
      <c r="D19">
        <v>1.822702587</v>
      </c>
      <c r="E19">
        <v>1.3140910000000001E-3</v>
      </c>
      <c r="F19">
        <v>1.788229692</v>
      </c>
      <c r="G19">
        <v>3.0714520000000001E-3</v>
      </c>
      <c r="H19">
        <v>-3.4472895000000003E-2</v>
      </c>
      <c r="I19">
        <v>2.1787199999999999E-3</v>
      </c>
      <c r="J19">
        <v>34.950388390000001</v>
      </c>
      <c r="K19">
        <v>35.704534369999998</v>
      </c>
      <c r="L19">
        <v>35.869455479999999</v>
      </c>
      <c r="M19">
        <v>36.05444928</v>
      </c>
      <c r="N19">
        <v>1.824620363</v>
      </c>
      <c r="O19">
        <v>1.8210900240000001</v>
      </c>
      <c r="P19">
        <v>1.823089672</v>
      </c>
      <c r="Q19">
        <v>1.8220102890000001</v>
      </c>
      <c r="R19">
        <v>1.7934715990000001</v>
      </c>
      <c r="S19">
        <v>1.7863370190000001</v>
      </c>
      <c r="T19">
        <v>1.7858247380000001</v>
      </c>
      <c r="U19">
        <v>1.7872854119999999</v>
      </c>
      <c r="V19">
        <v>-3.1148763999999999E-2</v>
      </c>
      <c r="W19">
        <v>-3.4753004999999997E-2</v>
      </c>
      <c r="X19">
        <v>-3.7264934E-2</v>
      </c>
      <c r="Y19">
        <v>-3.4724877000000001E-2</v>
      </c>
      <c r="Z19">
        <v>54</v>
      </c>
      <c r="AA19">
        <v>5</v>
      </c>
      <c r="AB19">
        <v>6</v>
      </c>
      <c r="AC19">
        <v>55</v>
      </c>
      <c r="AD19">
        <v>129</v>
      </c>
      <c r="AE19">
        <v>1</v>
      </c>
      <c r="AF19">
        <v>3.24</v>
      </c>
      <c r="AG19">
        <v>0.2</v>
      </c>
      <c r="AH19">
        <v>8.5800000000000001E-2</v>
      </c>
      <c r="AI19">
        <v>0.42086000000000001</v>
      </c>
      <c r="AJ19">
        <v>0.11300399999999999</v>
      </c>
      <c r="AK19">
        <v>4.0596639999999997</v>
      </c>
    </row>
    <row r="20" spans="1:37">
      <c r="A20" t="s">
        <v>20</v>
      </c>
      <c r="B20">
        <v>1.6912341360000001</v>
      </c>
      <c r="C20">
        <v>2.3917662530000001</v>
      </c>
      <c r="D20">
        <v>0.96913355899999998</v>
      </c>
      <c r="E20">
        <v>0.58591178499999996</v>
      </c>
      <c r="F20">
        <v>1.5003863799999999</v>
      </c>
      <c r="G20">
        <v>0.18854868899999999</v>
      </c>
      <c r="H20">
        <v>0.53125282100000004</v>
      </c>
      <c r="I20">
        <v>0.39850529499999998</v>
      </c>
      <c r="J20">
        <v>0</v>
      </c>
      <c r="K20">
        <v>0</v>
      </c>
      <c r="L20">
        <v>5.073702409</v>
      </c>
      <c r="M20">
        <v>24.494274399999998</v>
      </c>
      <c r="N20">
        <v>0.56694214700000001</v>
      </c>
      <c r="O20">
        <v>0.54283745699999997</v>
      </c>
      <c r="P20">
        <v>1.797621074</v>
      </c>
      <c r="Q20">
        <v>1.8319767790000001</v>
      </c>
      <c r="R20">
        <v>1.392618057</v>
      </c>
      <c r="S20">
        <v>1.3430469549999999</v>
      </c>
      <c r="T20">
        <v>1.7654941289999999</v>
      </c>
      <c r="U20">
        <v>1.7997545239999999</v>
      </c>
      <c r="V20">
        <v>0.82567590999999996</v>
      </c>
      <c r="W20">
        <v>0.80020949799999996</v>
      </c>
      <c r="X20">
        <v>-3.2126944999999997E-2</v>
      </c>
      <c r="Y20">
        <v>-3.2222254999999998E-2</v>
      </c>
      <c r="Z20">
        <v>65</v>
      </c>
      <c r="AA20">
        <v>14</v>
      </c>
      <c r="AB20">
        <v>27</v>
      </c>
      <c r="AC20">
        <v>98</v>
      </c>
      <c r="AD20">
        <v>8</v>
      </c>
      <c r="AE20">
        <v>38</v>
      </c>
      <c r="AF20">
        <v>3.9</v>
      </c>
      <c r="AG20">
        <v>0.56000000000000005</v>
      </c>
      <c r="AH20">
        <v>0.3861</v>
      </c>
      <c r="AI20">
        <v>0.74989600000000001</v>
      </c>
      <c r="AJ20">
        <v>7.0080000000000003E-3</v>
      </c>
      <c r="AK20">
        <v>5.6030040000000003</v>
      </c>
    </row>
    <row r="21" spans="1:37">
      <c r="A21" t="s">
        <v>20</v>
      </c>
      <c r="B21">
        <v>55.53281166</v>
      </c>
      <c r="C21">
        <v>0.53970652799999996</v>
      </c>
      <c r="D21">
        <v>1.7677984280000001</v>
      </c>
      <c r="E21">
        <v>2.9129550000000001E-3</v>
      </c>
      <c r="F21">
        <v>1.7379558180000001</v>
      </c>
      <c r="G21">
        <v>2.065524E-3</v>
      </c>
      <c r="H21">
        <v>-2.9842608999999999E-2</v>
      </c>
      <c r="I21">
        <v>3.5794170000000001E-3</v>
      </c>
      <c r="J21">
        <v>56.436303590000001</v>
      </c>
      <c r="K21">
        <v>55.07075906</v>
      </c>
      <c r="L21">
        <v>55.174418590000002</v>
      </c>
      <c r="M21">
        <v>55.449765409999998</v>
      </c>
      <c r="N21">
        <v>1.768746427</v>
      </c>
      <c r="O21">
        <v>1.772154352</v>
      </c>
      <c r="P21">
        <v>1.765182778</v>
      </c>
      <c r="Q21">
        <v>1.765110153</v>
      </c>
      <c r="R21">
        <v>1.741381743</v>
      </c>
      <c r="S21">
        <v>1.7361720919999999</v>
      </c>
      <c r="T21">
        <v>1.7377665840000001</v>
      </c>
      <c r="U21">
        <v>1.736502854</v>
      </c>
      <c r="V21">
        <v>-2.7364684E-2</v>
      </c>
      <c r="W21">
        <v>-3.5982260000000002E-2</v>
      </c>
      <c r="X21">
        <v>-2.7416194000000001E-2</v>
      </c>
      <c r="Y21">
        <v>-2.8607298999999999E-2</v>
      </c>
      <c r="Z21">
        <v>5</v>
      </c>
      <c r="AA21">
        <v>97</v>
      </c>
      <c r="AB21">
        <v>0</v>
      </c>
      <c r="AC21">
        <v>10</v>
      </c>
      <c r="AD21">
        <v>11</v>
      </c>
      <c r="AE21">
        <v>127</v>
      </c>
      <c r="AF21">
        <v>0.3</v>
      </c>
      <c r="AG21">
        <v>3.88</v>
      </c>
      <c r="AH21">
        <v>0</v>
      </c>
      <c r="AI21">
        <v>7.6520000000000005E-2</v>
      </c>
      <c r="AJ21">
        <v>9.6360000000000005E-3</v>
      </c>
      <c r="AK21">
        <v>4.2661559999999996</v>
      </c>
    </row>
    <row r="22" spans="1:37">
      <c r="A22" t="s">
        <v>20</v>
      </c>
      <c r="B22">
        <v>0</v>
      </c>
      <c r="C22">
        <v>0</v>
      </c>
      <c r="D22">
        <v>0.538850728</v>
      </c>
      <c r="E22">
        <v>0.134829435</v>
      </c>
      <c r="F22">
        <v>1.329594317</v>
      </c>
      <c r="G22">
        <v>3.2772834000000001E-2</v>
      </c>
      <c r="H22">
        <v>0.79074358899999997</v>
      </c>
      <c r="I22">
        <v>0.103397138</v>
      </c>
      <c r="J22">
        <v>0</v>
      </c>
      <c r="K22">
        <v>0</v>
      </c>
      <c r="L22">
        <v>0</v>
      </c>
      <c r="M22">
        <v>25.34998964</v>
      </c>
      <c r="N22">
        <v>0.72876957600000003</v>
      </c>
      <c r="O22">
        <v>0.458608242</v>
      </c>
      <c r="P22">
        <v>0.42917436599999997</v>
      </c>
      <c r="Q22">
        <v>1.7670534790000001</v>
      </c>
      <c r="R22">
        <v>1.375342182</v>
      </c>
      <c r="S22">
        <v>1.3002831779999999</v>
      </c>
      <c r="T22">
        <v>1.313157591</v>
      </c>
      <c r="U22">
        <v>1.7495717239999999</v>
      </c>
      <c r="V22">
        <v>0.64657260599999999</v>
      </c>
      <c r="W22">
        <v>0.84167493599999998</v>
      </c>
      <c r="X22">
        <v>0.88398322500000004</v>
      </c>
      <c r="Y22">
        <v>-1.7481755000000002E-2</v>
      </c>
      <c r="Z22">
        <v>13</v>
      </c>
      <c r="AA22">
        <v>146</v>
      </c>
      <c r="AB22">
        <v>41</v>
      </c>
      <c r="AC22">
        <v>9</v>
      </c>
      <c r="AD22">
        <v>36</v>
      </c>
      <c r="AE22">
        <v>5</v>
      </c>
      <c r="AF22">
        <v>0.78</v>
      </c>
      <c r="AG22">
        <v>5.84</v>
      </c>
      <c r="AH22">
        <v>0.58630000000000004</v>
      </c>
      <c r="AI22">
        <v>6.8867999999999999E-2</v>
      </c>
      <c r="AJ22">
        <v>3.1536000000000002E-2</v>
      </c>
      <c r="AK22">
        <v>7.3067039999999999</v>
      </c>
    </row>
    <row r="23" spans="1:37">
      <c r="A23" t="s">
        <v>20</v>
      </c>
      <c r="B23">
        <v>23.208408120000001</v>
      </c>
      <c r="C23">
        <v>0.28830750300000002</v>
      </c>
      <c r="D23">
        <v>1.754313231</v>
      </c>
      <c r="E23">
        <v>5.0946289999999998E-3</v>
      </c>
      <c r="F23">
        <v>1.7451263239999999</v>
      </c>
      <c r="G23">
        <v>2.8553179999999999E-3</v>
      </c>
      <c r="H23">
        <v>-9.1869069999999994E-3</v>
      </c>
      <c r="I23">
        <v>3.298151E-3</v>
      </c>
      <c r="J23">
        <v>14.9628367</v>
      </c>
      <c r="K23">
        <v>23.370206469999999</v>
      </c>
      <c r="L23">
        <v>23.45161972</v>
      </c>
      <c r="M23">
        <v>22.803398170000001</v>
      </c>
      <c r="N23">
        <v>1.739476765</v>
      </c>
      <c r="O23">
        <v>1.7557239099999999</v>
      </c>
      <c r="P23">
        <v>1.759726744</v>
      </c>
      <c r="Q23">
        <v>1.74748904</v>
      </c>
      <c r="R23">
        <v>1.72459998</v>
      </c>
      <c r="S23">
        <v>1.7481416030000001</v>
      </c>
      <c r="T23">
        <v>1.745944696</v>
      </c>
      <c r="U23">
        <v>1.741292673</v>
      </c>
      <c r="V23">
        <v>-1.4876785E-2</v>
      </c>
      <c r="W23">
        <v>-7.5823069999999999E-3</v>
      </c>
      <c r="X23">
        <v>-1.3782048E-2</v>
      </c>
      <c r="Y23">
        <v>-6.1963670000000004E-3</v>
      </c>
      <c r="Z23">
        <v>22</v>
      </c>
      <c r="AA23">
        <v>78</v>
      </c>
      <c r="AB23">
        <v>7</v>
      </c>
      <c r="AC23">
        <v>116</v>
      </c>
      <c r="AD23">
        <v>21</v>
      </c>
      <c r="AE23">
        <v>6</v>
      </c>
      <c r="AF23">
        <v>1.32</v>
      </c>
      <c r="AG23">
        <v>3.12</v>
      </c>
      <c r="AH23">
        <v>0.10009999999999999</v>
      </c>
      <c r="AI23">
        <v>0.88763199999999998</v>
      </c>
      <c r="AJ23">
        <v>1.8395999999999999E-2</v>
      </c>
      <c r="AK23">
        <v>5.4461279999999999</v>
      </c>
    </row>
    <row r="24" spans="1:37">
      <c r="A24" t="s">
        <v>20</v>
      </c>
      <c r="B24">
        <v>42.845530220000001</v>
      </c>
      <c r="C24">
        <v>0.51463805799999995</v>
      </c>
      <c r="D24">
        <v>1.784591571</v>
      </c>
      <c r="E24">
        <v>1.0492090000000001E-2</v>
      </c>
      <c r="F24">
        <v>1.77437355</v>
      </c>
      <c r="G24">
        <v>8.3306909999999994E-3</v>
      </c>
      <c r="H24">
        <v>-1.0218021000000001E-2</v>
      </c>
      <c r="I24">
        <v>2.2834000000000001E-3</v>
      </c>
      <c r="J24">
        <v>42.883622979999998</v>
      </c>
      <c r="K24">
        <v>43.145081300000001</v>
      </c>
      <c r="L24">
        <v>43.3516993</v>
      </c>
      <c r="M24">
        <v>42.001717280000001</v>
      </c>
      <c r="N24">
        <v>1.802684986</v>
      </c>
      <c r="O24">
        <v>1.777866159</v>
      </c>
      <c r="P24">
        <v>1.77765913</v>
      </c>
      <c r="Q24">
        <v>1.7801560080000001</v>
      </c>
      <c r="R24">
        <v>1.788775155</v>
      </c>
      <c r="S24">
        <v>1.7700053920000001</v>
      </c>
      <c r="T24">
        <v>1.768732497</v>
      </c>
      <c r="U24">
        <v>1.7699811539999999</v>
      </c>
      <c r="V24">
        <v>-1.3909830999999999E-2</v>
      </c>
      <c r="W24">
        <v>-7.8607669999999994E-3</v>
      </c>
      <c r="X24">
        <v>-8.9266329999999998E-3</v>
      </c>
      <c r="Y24">
        <v>-1.0174854000000001E-2</v>
      </c>
      <c r="Z24">
        <v>57</v>
      </c>
      <c r="AA24">
        <v>30</v>
      </c>
      <c r="AB24">
        <v>27</v>
      </c>
      <c r="AC24">
        <v>29</v>
      </c>
      <c r="AD24">
        <v>22</v>
      </c>
      <c r="AE24">
        <v>85</v>
      </c>
      <c r="AF24">
        <v>3.42</v>
      </c>
      <c r="AG24">
        <v>1.2</v>
      </c>
      <c r="AH24">
        <v>0.3861</v>
      </c>
      <c r="AI24">
        <v>0.22190799999999999</v>
      </c>
      <c r="AJ24">
        <v>1.9272000000000001E-2</v>
      </c>
      <c r="AK24">
        <v>5.2472799999999999</v>
      </c>
    </row>
    <row r="25" spans="1:37">
      <c r="A25" t="s">
        <v>20</v>
      </c>
      <c r="B25">
        <v>0</v>
      </c>
      <c r="C25">
        <v>0</v>
      </c>
      <c r="D25">
        <v>0.529014871</v>
      </c>
      <c r="E25">
        <v>9.8625009E-2</v>
      </c>
      <c r="F25">
        <v>1.3509073250000001</v>
      </c>
      <c r="G25">
        <v>3.2392724999999997E-2</v>
      </c>
      <c r="H25">
        <v>0.82189245399999999</v>
      </c>
      <c r="I25">
        <v>7.1217185000000002E-2</v>
      </c>
      <c r="J25">
        <v>0</v>
      </c>
      <c r="K25">
        <v>18.126424050000001</v>
      </c>
      <c r="L25">
        <v>0</v>
      </c>
      <c r="M25">
        <v>0</v>
      </c>
      <c r="N25">
        <v>0.44358312500000002</v>
      </c>
      <c r="O25">
        <v>1.821876203</v>
      </c>
      <c r="P25">
        <v>0.66721059100000002</v>
      </c>
      <c r="Q25">
        <v>0.47625089700000001</v>
      </c>
      <c r="R25">
        <v>1.342170675</v>
      </c>
      <c r="S25">
        <v>1.7944833039999999</v>
      </c>
      <c r="T25">
        <v>1.3942203049999999</v>
      </c>
      <c r="U25">
        <v>1.316330996</v>
      </c>
      <c r="V25">
        <v>0.89858755000000001</v>
      </c>
      <c r="W25">
        <v>-2.7392898999999998E-2</v>
      </c>
      <c r="X25">
        <v>0.72700971400000003</v>
      </c>
      <c r="Y25">
        <v>0.84008009900000002</v>
      </c>
      <c r="Z25">
        <v>25</v>
      </c>
      <c r="AA25">
        <v>16</v>
      </c>
      <c r="AB25">
        <v>129</v>
      </c>
      <c r="AC25">
        <v>60</v>
      </c>
      <c r="AD25">
        <v>16</v>
      </c>
      <c r="AE25">
        <v>4</v>
      </c>
      <c r="AF25">
        <v>1.5</v>
      </c>
      <c r="AG25">
        <v>0.64</v>
      </c>
      <c r="AH25">
        <v>1.8447</v>
      </c>
      <c r="AI25">
        <v>0.45911999999999997</v>
      </c>
      <c r="AJ25">
        <v>1.4016000000000001E-2</v>
      </c>
      <c r="AK25">
        <v>4.4578360000000004</v>
      </c>
    </row>
    <row r="26" spans="1:37">
      <c r="A26" t="s">
        <v>20</v>
      </c>
      <c r="B26">
        <v>26.964568450000002</v>
      </c>
      <c r="C26">
        <v>0.249043598</v>
      </c>
      <c r="D26">
        <v>1.8278309150000001</v>
      </c>
      <c r="E26">
        <v>4.3058510000000003E-3</v>
      </c>
      <c r="F26">
        <v>1.8019539579999999</v>
      </c>
      <c r="G26">
        <v>4.3956710000000003E-3</v>
      </c>
      <c r="H26">
        <v>-2.5876957999999999E-2</v>
      </c>
      <c r="I26">
        <v>1.5994900000000001E-3</v>
      </c>
      <c r="J26">
        <v>27.209111400000001</v>
      </c>
      <c r="K26">
        <v>26.54814665</v>
      </c>
      <c r="L26">
        <v>27.057968320000001</v>
      </c>
      <c r="M26">
        <v>27.043047420000001</v>
      </c>
      <c r="N26">
        <v>1.8344537169999999</v>
      </c>
      <c r="O26">
        <v>1.827664607</v>
      </c>
      <c r="P26">
        <v>1.822431366</v>
      </c>
      <c r="Q26">
        <v>1.8267739709999999</v>
      </c>
      <c r="R26">
        <v>1.8095056700000001</v>
      </c>
      <c r="S26">
        <v>1.8002754219999999</v>
      </c>
      <c r="T26">
        <v>1.7987053180000001</v>
      </c>
      <c r="U26">
        <v>1.7993294200000001</v>
      </c>
      <c r="V26">
        <v>-2.4948047000000001E-2</v>
      </c>
      <c r="W26">
        <v>-2.7389185E-2</v>
      </c>
      <c r="X26">
        <v>-2.3726048E-2</v>
      </c>
      <c r="Y26">
        <v>-2.7444551000000001E-2</v>
      </c>
      <c r="Z26">
        <v>20</v>
      </c>
      <c r="AA26">
        <v>5</v>
      </c>
      <c r="AB26">
        <v>52</v>
      </c>
      <c r="AC26">
        <v>78</v>
      </c>
      <c r="AD26">
        <v>76</v>
      </c>
      <c r="AE26">
        <v>19</v>
      </c>
      <c r="AF26">
        <v>1.2</v>
      </c>
      <c r="AG26">
        <v>0.2</v>
      </c>
      <c r="AH26">
        <v>0.74360000000000004</v>
      </c>
      <c r="AI26">
        <v>0.59685600000000005</v>
      </c>
      <c r="AJ26">
        <v>6.6575999999999996E-2</v>
      </c>
      <c r="AK26">
        <v>2.807032</v>
      </c>
    </row>
    <row r="27" spans="1:37">
      <c r="A27" t="s">
        <v>20</v>
      </c>
      <c r="B27">
        <v>43.80563283</v>
      </c>
      <c r="C27">
        <v>0.29292612200000001</v>
      </c>
      <c r="D27">
        <v>1.7393518219999999</v>
      </c>
      <c r="E27">
        <v>8.4711070000000003E-3</v>
      </c>
      <c r="F27">
        <v>1.7341161089999999</v>
      </c>
      <c r="G27">
        <v>4.6689929999999998E-3</v>
      </c>
      <c r="H27">
        <v>-5.2357130000000003E-3</v>
      </c>
      <c r="I27">
        <v>4.1293040000000003E-3</v>
      </c>
      <c r="J27">
        <v>44.06118026</v>
      </c>
      <c r="K27">
        <v>43.381669950000003</v>
      </c>
      <c r="L27">
        <v>44.094769759999998</v>
      </c>
      <c r="M27">
        <v>43.68491135</v>
      </c>
      <c r="N27">
        <v>1.753643979</v>
      </c>
      <c r="O27">
        <v>1.7377001990000001</v>
      </c>
      <c r="P27">
        <v>1.7327545740000001</v>
      </c>
      <c r="Q27">
        <v>1.7333085370000001</v>
      </c>
      <c r="R27">
        <v>1.7421926029999999</v>
      </c>
      <c r="S27">
        <v>1.7312005100000001</v>
      </c>
      <c r="T27">
        <v>1.7312617079999999</v>
      </c>
      <c r="U27">
        <v>1.731809615</v>
      </c>
      <c r="V27">
        <v>-1.1451375999999999E-2</v>
      </c>
      <c r="W27">
        <v>-6.4996890000000003E-3</v>
      </c>
      <c r="X27">
        <v>-1.492866E-3</v>
      </c>
      <c r="Y27">
        <v>-1.498922E-3</v>
      </c>
      <c r="Z27">
        <v>18</v>
      </c>
      <c r="AA27">
        <v>79</v>
      </c>
      <c r="AB27">
        <v>32</v>
      </c>
      <c r="AC27">
        <v>7</v>
      </c>
      <c r="AD27">
        <v>24</v>
      </c>
      <c r="AE27">
        <v>90</v>
      </c>
      <c r="AF27">
        <v>1.08</v>
      </c>
      <c r="AG27">
        <v>3.16</v>
      </c>
      <c r="AH27">
        <v>0.45760000000000001</v>
      </c>
      <c r="AI27">
        <v>5.3564000000000001E-2</v>
      </c>
      <c r="AJ27">
        <v>2.1024000000000001E-2</v>
      </c>
      <c r="AK27">
        <v>4.7721879999999999</v>
      </c>
    </row>
    <row r="28" spans="1:37">
      <c r="A28" t="s">
        <v>20</v>
      </c>
      <c r="B28">
        <v>36.672284789999999</v>
      </c>
      <c r="C28">
        <v>12.180698339999999</v>
      </c>
      <c r="D28">
        <v>1.43039439</v>
      </c>
      <c r="E28">
        <v>0.53153643800000006</v>
      </c>
      <c r="F28">
        <v>1.6274983270000001</v>
      </c>
      <c r="G28">
        <v>0.212092266</v>
      </c>
      <c r="H28">
        <v>0.19710393700000001</v>
      </c>
      <c r="I28">
        <v>0.31985598500000001</v>
      </c>
      <c r="J28">
        <v>0</v>
      </c>
      <c r="K28">
        <v>31.824574070000001</v>
      </c>
      <c r="L28">
        <v>24.780802439999999</v>
      </c>
      <c r="M28">
        <v>53.411477849999997</v>
      </c>
      <c r="N28">
        <v>0.67560451300000002</v>
      </c>
      <c r="O28">
        <v>1.820148044</v>
      </c>
      <c r="P28">
        <v>0.678861885</v>
      </c>
      <c r="Q28">
        <v>1.7921732399999999</v>
      </c>
      <c r="R28">
        <v>1.3882584659999999</v>
      </c>
      <c r="S28">
        <v>1.7952258750000001</v>
      </c>
      <c r="T28">
        <v>1.3282853109999999</v>
      </c>
      <c r="U28">
        <v>1.7589837939999999</v>
      </c>
      <c r="V28">
        <v>0.71265395300000001</v>
      </c>
      <c r="W28">
        <v>-2.4922169000000001E-2</v>
      </c>
      <c r="X28">
        <v>0.64942342600000003</v>
      </c>
      <c r="Y28">
        <v>-3.3189445999999997E-2</v>
      </c>
      <c r="Z28">
        <v>35</v>
      </c>
      <c r="AA28">
        <v>9</v>
      </c>
      <c r="AB28">
        <v>78</v>
      </c>
      <c r="AC28">
        <v>36</v>
      </c>
      <c r="AD28">
        <v>6</v>
      </c>
      <c r="AE28">
        <v>86</v>
      </c>
      <c r="AF28">
        <v>2.1</v>
      </c>
      <c r="AG28">
        <v>0.36</v>
      </c>
      <c r="AH28">
        <v>1.1153999999999999</v>
      </c>
      <c r="AI28">
        <v>0.27547199999999999</v>
      </c>
      <c r="AJ28">
        <v>5.2560000000000003E-3</v>
      </c>
      <c r="AK28">
        <v>3.856128</v>
      </c>
    </row>
    <row r="29" spans="1:37">
      <c r="A29" t="s">
        <v>20</v>
      </c>
      <c r="B29">
        <v>0</v>
      </c>
      <c r="C29">
        <v>0</v>
      </c>
      <c r="D29">
        <v>0.54145659599999996</v>
      </c>
      <c r="E29">
        <v>0.113718491</v>
      </c>
      <c r="F29">
        <v>1.3311996269999999</v>
      </c>
      <c r="G29">
        <v>3.7314088000000002E-2</v>
      </c>
      <c r="H29">
        <v>0.78974303099999998</v>
      </c>
      <c r="I29">
        <v>8.1282100999999995E-2</v>
      </c>
      <c r="J29">
        <v>0</v>
      </c>
      <c r="K29">
        <v>0</v>
      </c>
      <c r="L29">
        <v>12.339799660000001</v>
      </c>
      <c r="M29">
        <v>0</v>
      </c>
      <c r="N29">
        <v>0.69272162000000004</v>
      </c>
      <c r="O29">
        <v>0.51312114900000005</v>
      </c>
      <c r="P29">
        <v>1.8120425259999999</v>
      </c>
      <c r="Q29">
        <v>0.41852702000000003</v>
      </c>
      <c r="R29">
        <v>1.3837900270000001</v>
      </c>
      <c r="S29">
        <v>1.301136251</v>
      </c>
      <c r="T29">
        <v>1.7761014690000001</v>
      </c>
      <c r="U29">
        <v>1.308672603</v>
      </c>
      <c r="V29">
        <v>0.69106840700000005</v>
      </c>
      <c r="W29">
        <v>0.78801510200000002</v>
      </c>
      <c r="X29">
        <v>-3.5941056999999998E-2</v>
      </c>
      <c r="Y29">
        <v>0.89014558300000002</v>
      </c>
      <c r="Z29">
        <v>34</v>
      </c>
      <c r="AA29">
        <v>13</v>
      </c>
      <c r="AB29">
        <v>109</v>
      </c>
      <c r="AC29">
        <v>47</v>
      </c>
      <c r="AD29">
        <v>9</v>
      </c>
      <c r="AE29">
        <v>38</v>
      </c>
      <c r="AF29">
        <v>2.04</v>
      </c>
      <c r="AG29">
        <v>0.52</v>
      </c>
      <c r="AH29">
        <v>1.5587</v>
      </c>
      <c r="AI29">
        <v>0.35964400000000002</v>
      </c>
      <c r="AJ29">
        <v>7.8840000000000004E-3</v>
      </c>
      <c r="AK29">
        <v>4.4862279999999997</v>
      </c>
    </row>
    <row r="30" spans="1:37">
      <c r="A30" t="s">
        <v>20</v>
      </c>
      <c r="B30">
        <v>10.569121539999999</v>
      </c>
      <c r="C30">
        <v>14.946995019999999</v>
      </c>
      <c r="D30">
        <v>1.1149810760000001</v>
      </c>
      <c r="E30">
        <v>0.48228938500000001</v>
      </c>
      <c r="F30">
        <v>1.4929607410000001</v>
      </c>
      <c r="G30">
        <v>0.19701966100000001</v>
      </c>
      <c r="H30">
        <v>0.37797966500000002</v>
      </c>
      <c r="I30">
        <v>0.28563924800000001</v>
      </c>
      <c r="J30">
        <v>0</v>
      </c>
      <c r="K30">
        <v>0</v>
      </c>
      <c r="L30">
        <v>34.847640249999998</v>
      </c>
      <c r="M30">
        <v>31.707364609999999</v>
      </c>
      <c r="N30">
        <v>0.88917651499999995</v>
      </c>
      <c r="O30">
        <v>0.67051112700000004</v>
      </c>
      <c r="P30">
        <v>1.8091661619999999</v>
      </c>
      <c r="Q30">
        <v>1.7852555859999999</v>
      </c>
      <c r="R30">
        <v>1.413204779</v>
      </c>
      <c r="S30">
        <v>1.301636732</v>
      </c>
      <c r="T30">
        <v>1.7891463240000001</v>
      </c>
      <c r="U30">
        <v>1.7640407119999999</v>
      </c>
      <c r="V30">
        <v>0.52402826400000002</v>
      </c>
      <c r="W30">
        <v>0.63112560500000003</v>
      </c>
      <c r="X30">
        <v>-2.0019838000000002E-2</v>
      </c>
      <c r="Y30">
        <v>-2.1214874000000002E-2</v>
      </c>
      <c r="Z30">
        <v>14</v>
      </c>
      <c r="AA30">
        <v>71</v>
      </c>
      <c r="AB30">
        <v>40</v>
      </c>
      <c r="AC30">
        <v>48</v>
      </c>
      <c r="AD30">
        <v>51</v>
      </c>
      <c r="AE30">
        <v>26</v>
      </c>
      <c r="AF30">
        <v>0.84</v>
      </c>
      <c r="AG30">
        <v>2.84</v>
      </c>
      <c r="AH30">
        <v>0.57199999999999995</v>
      </c>
      <c r="AI30">
        <v>0.36729600000000001</v>
      </c>
      <c r="AJ30">
        <v>4.4676E-2</v>
      </c>
      <c r="AK30">
        <v>4.6639720000000002</v>
      </c>
    </row>
    <row r="31" spans="1:37">
      <c r="A31" t="s">
        <v>20</v>
      </c>
      <c r="B31">
        <v>36.365437980000003</v>
      </c>
      <c r="C31">
        <v>3.1627757029999999</v>
      </c>
      <c r="D31">
        <v>1.7548000669999999</v>
      </c>
      <c r="E31">
        <v>8.0951970000000002E-3</v>
      </c>
      <c r="F31">
        <v>1.7538535930000001</v>
      </c>
      <c r="G31">
        <v>4.8475860000000001E-3</v>
      </c>
      <c r="H31">
        <v>-9.4647399999999999E-4</v>
      </c>
      <c r="I31">
        <v>4.2788729999999999E-3</v>
      </c>
      <c r="J31">
        <v>36.911946810000003</v>
      </c>
      <c r="K31">
        <v>39.936753930000002</v>
      </c>
      <c r="L31">
        <v>32.247613200000004</v>
      </c>
      <c r="M31">
        <v>0</v>
      </c>
      <c r="N31">
        <v>1.7548655950000001</v>
      </c>
      <c r="O31">
        <v>1.7646816910000001</v>
      </c>
      <c r="P31">
        <v>1.7448529150000001</v>
      </c>
      <c r="Q31">
        <v>0.65050751299999998</v>
      </c>
      <c r="R31">
        <v>1.7509164269999999</v>
      </c>
      <c r="S31">
        <v>1.760686728</v>
      </c>
      <c r="T31">
        <v>1.749957623</v>
      </c>
      <c r="U31">
        <v>1.336468223</v>
      </c>
      <c r="V31">
        <v>-3.9491680000000003E-3</v>
      </c>
      <c r="W31">
        <v>-3.9949629999999998E-3</v>
      </c>
      <c r="X31">
        <v>5.1047080000000003E-3</v>
      </c>
      <c r="Y31">
        <v>0.68596071000000003</v>
      </c>
      <c r="Z31">
        <v>56</v>
      </c>
      <c r="AA31">
        <v>43</v>
      </c>
      <c r="AB31">
        <v>40</v>
      </c>
      <c r="AC31">
        <v>28</v>
      </c>
      <c r="AD31">
        <v>24</v>
      </c>
      <c r="AE31">
        <v>59</v>
      </c>
      <c r="AF31">
        <v>3.36</v>
      </c>
      <c r="AG31">
        <v>1.72</v>
      </c>
      <c r="AH31">
        <v>0.57199999999999995</v>
      </c>
      <c r="AI31">
        <v>0.214256</v>
      </c>
      <c r="AJ31">
        <v>2.1024000000000001E-2</v>
      </c>
      <c r="AK31">
        <v>5.8872799999999996</v>
      </c>
    </row>
    <row r="32" spans="1:37">
      <c r="A32" t="s">
        <v>20</v>
      </c>
      <c r="B32">
        <v>35.464991519999998</v>
      </c>
      <c r="C32">
        <v>1.6316395400000001</v>
      </c>
      <c r="D32">
        <v>1.8412240740000001</v>
      </c>
      <c r="E32">
        <v>5.8824639999999996E-3</v>
      </c>
      <c r="F32">
        <v>1.7983878170000001</v>
      </c>
      <c r="G32">
        <v>3.1670119999999999E-3</v>
      </c>
      <c r="H32">
        <v>-4.2836258000000002E-2</v>
      </c>
      <c r="I32">
        <v>3.5580680000000002E-3</v>
      </c>
      <c r="J32">
        <v>34.845944099999997</v>
      </c>
      <c r="K32">
        <v>34.949327500000003</v>
      </c>
      <c r="L32">
        <v>38.195224510000003</v>
      </c>
      <c r="M32">
        <v>33.869469950000003</v>
      </c>
      <c r="N32">
        <v>1.8489032759999999</v>
      </c>
      <c r="O32">
        <v>1.8418213050000001</v>
      </c>
      <c r="P32">
        <v>1.832351039</v>
      </c>
      <c r="Q32">
        <v>1.841820676</v>
      </c>
      <c r="R32">
        <v>1.8029876760000001</v>
      </c>
      <c r="S32">
        <v>1.795852252</v>
      </c>
      <c r="T32">
        <v>1.795075164</v>
      </c>
      <c r="U32">
        <v>1.799636174</v>
      </c>
      <c r="V32">
        <v>-4.5915600000000001E-2</v>
      </c>
      <c r="W32">
        <v>-4.5969053000000003E-2</v>
      </c>
      <c r="X32">
        <v>-3.7275875E-2</v>
      </c>
      <c r="Y32">
        <v>-4.2184501999999999E-2</v>
      </c>
      <c r="Z32">
        <v>10</v>
      </c>
      <c r="AA32">
        <v>8</v>
      </c>
      <c r="AB32">
        <v>0</v>
      </c>
      <c r="AC32">
        <v>14</v>
      </c>
      <c r="AD32">
        <v>95</v>
      </c>
      <c r="AE32">
        <v>123</v>
      </c>
      <c r="AF32">
        <v>0.6</v>
      </c>
      <c r="AG32">
        <v>0.32</v>
      </c>
      <c r="AH32">
        <v>0</v>
      </c>
      <c r="AI32">
        <v>0.107128</v>
      </c>
      <c r="AJ32">
        <v>8.3220000000000002E-2</v>
      </c>
      <c r="AK32">
        <v>1.1103479999999999</v>
      </c>
    </row>
    <row r="33" spans="1:37">
      <c r="A33" t="s">
        <v>20</v>
      </c>
      <c r="B33">
        <v>8.3374864940000002</v>
      </c>
      <c r="C33">
        <v>1.2182816169999999</v>
      </c>
      <c r="D33">
        <v>0.662173652</v>
      </c>
      <c r="E33">
        <v>0.26804649400000002</v>
      </c>
      <c r="F33">
        <v>1.3476267260000001</v>
      </c>
      <c r="G33">
        <v>4.2780417000000001E-2</v>
      </c>
      <c r="H33">
        <v>0.685453074</v>
      </c>
      <c r="I33">
        <v>0.257596663</v>
      </c>
      <c r="J33">
        <v>6.9149815239999999</v>
      </c>
      <c r="K33">
        <v>20.437635350000001</v>
      </c>
      <c r="L33">
        <v>8.2069106979999997</v>
      </c>
      <c r="M33">
        <v>9.8905672609999993</v>
      </c>
      <c r="N33">
        <v>0.80734804999999998</v>
      </c>
      <c r="O33">
        <v>1.7160137360000001</v>
      </c>
      <c r="P33">
        <v>0.89284653899999999</v>
      </c>
      <c r="Q33">
        <v>0.28632636700000003</v>
      </c>
      <c r="R33">
        <v>1.3020625429999999</v>
      </c>
      <c r="S33">
        <v>1.7198243129999999</v>
      </c>
      <c r="T33">
        <v>1.404878732</v>
      </c>
      <c r="U33">
        <v>1.335938903</v>
      </c>
      <c r="V33">
        <v>0.49471449299999998</v>
      </c>
      <c r="W33">
        <v>3.8105769999999999E-3</v>
      </c>
      <c r="X33">
        <v>0.51203219300000002</v>
      </c>
      <c r="Y33">
        <v>1.0496125359999999</v>
      </c>
      <c r="Z33">
        <v>100</v>
      </c>
      <c r="AA33">
        <v>50</v>
      </c>
      <c r="AB33">
        <v>60</v>
      </c>
      <c r="AC33">
        <v>0</v>
      </c>
      <c r="AD33">
        <v>31</v>
      </c>
      <c r="AE33">
        <v>9</v>
      </c>
      <c r="AF33">
        <v>6</v>
      </c>
      <c r="AG33">
        <v>2</v>
      </c>
      <c r="AH33">
        <v>0.85799999999999998</v>
      </c>
      <c r="AI33">
        <v>0</v>
      </c>
      <c r="AJ33">
        <v>2.7156E-2</v>
      </c>
      <c r="AK33">
        <v>8.8851560000000003</v>
      </c>
    </row>
    <row r="34" spans="1:37">
      <c r="A34" t="s">
        <v>20</v>
      </c>
      <c r="B34">
        <v>13.57018819</v>
      </c>
      <c r="C34">
        <v>19.191144179999998</v>
      </c>
      <c r="D34">
        <v>1.034931051</v>
      </c>
      <c r="E34">
        <v>0.54554328500000004</v>
      </c>
      <c r="F34">
        <v>1.4710946730000001</v>
      </c>
      <c r="G34">
        <v>0.22127891099999999</v>
      </c>
      <c r="H34">
        <v>0.43616362199999997</v>
      </c>
      <c r="I34">
        <v>0.32429443600000002</v>
      </c>
      <c r="J34">
        <v>0</v>
      </c>
      <c r="K34">
        <v>0</v>
      </c>
      <c r="L34">
        <v>43.803935060000001</v>
      </c>
      <c r="M34">
        <v>40.710564560000002</v>
      </c>
      <c r="N34">
        <v>0.64548878200000004</v>
      </c>
      <c r="O34">
        <v>0.652870379</v>
      </c>
      <c r="P34">
        <v>1.826903095</v>
      </c>
      <c r="Q34">
        <v>1.806433993</v>
      </c>
      <c r="R34">
        <v>1.3097118999999999</v>
      </c>
      <c r="S34">
        <v>1.3195938229999999</v>
      </c>
      <c r="T34">
        <v>1.79955409</v>
      </c>
      <c r="U34">
        <v>1.783978297</v>
      </c>
      <c r="V34">
        <v>0.664223118</v>
      </c>
      <c r="W34">
        <v>0.66672344400000005</v>
      </c>
      <c r="X34">
        <v>-2.7349004999999999E-2</v>
      </c>
      <c r="Y34">
        <v>-2.2455696000000001E-2</v>
      </c>
      <c r="Z34">
        <v>0</v>
      </c>
      <c r="AA34">
        <v>45</v>
      </c>
      <c r="AB34">
        <v>87</v>
      </c>
      <c r="AC34">
        <v>32</v>
      </c>
      <c r="AD34">
        <v>26</v>
      </c>
      <c r="AE34">
        <v>60</v>
      </c>
      <c r="AF34">
        <v>0</v>
      </c>
      <c r="AG34">
        <v>1.8</v>
      </c>
      <c r="AH34">
        <v>1.2441</v>
      </c>
      <c r="AI34">
        <v>0.244864</v>
      </c>
      <c r="AJ34">
        <v>2.2776000000000001E-2</v>
      </c>
      <c r="AK34">
        <v>3.3117399999999999</v>
      </c>
    </row>
    <row r="35" spans="1:37">
      <c r="A35" t="s">
        <v>20</v>
      </c>
      <c r="B35">
        <v>8.1770997570000006</v>
      </c>
      <c r="C35">
        <v>11.56416538</v>
      </c>
      <c r="D35">
        <v>0.92907567300000005</v>
      </c>
      <c r="E35">
        <v>0.62129745599999997</v>
      </c>
      <c r="F35">
        <v>1.5207346559999999</v>
      </c>
      <c r="G35">
        <v>0.18736798299999999</v>
      </c>
      <c r="H35">
        <v>0.591658982</v>
      </c>
      <c r="I35">
        <v>0.43584736000000002</v>
      </c>
      <c r="J35">
        <v>0</v>
      </c>
      <c r="K35">
        <v>24.59642496</v>
      </c>
      <c r="L35">
        <v>0</v>
      </c>
      <c r="M35">
        <v>24.531299270000002</v>
      </c>
      <c r="N35">
        <v>0.52930516999999999</v>
      </c>
      <c r="O35">
        <v>1.8124840419999999</v>
      </c>
      <c r="P35">
        <v>0.45135229799999999</v>
      </c>
      <c r="Q35">
        <v>1.806569552</v>
      </c>
      <c r="R35">
        <v>1.4292332210000001</v>
      </c>
      <c r="S35">
        <v>1.7863972180000001</v>
      </c>
      <c r="T35">
        <v>1.3511234519999999</v>
      </c>
      <c r="U35">
        <v>1.7818472940000001</v>
      </c>
      <c r="V35">
        <v>0.89992805099999995</v>
      </c>
      <c r="W35">
        <v>-2.6086824000000002E-2</v>
      </c>
      <c r="X35">
        <v>0.89977115399999996</v>
      </c>
      <c r="Y35">
        <v>-2.4722258E-2</v>
      </c>
      <c r="Z35">
        <v>75</v>
      </c>
      <c r="AA35">
        <v>25</v>
      </c>
      <c r="AB35">
        <v>60</v>
      </c>
      <c r="AC35">
        <v>30</v>
      </c>
      <c r="AD35">
        <v>23</v>
      </c>
      <c r="AE35">
        <v>37</v>
      </c>
      <c r="AF35">
        <v>4.5</v>
      </c>
      <c r="AG35">
        <v>1</v>
      </c>
      <c r="AH35">
        <v>0.85799999999999998</v>
      </c>
      <c r="AI35">
        <v>0.22955999999999999</v>
      </c>
      <c r="AJ35">
        <v>2.0147999999999999E-2</v>
      </c>
      <c r="AK35">
        <v>6.6077079999999997</v>
      </c>
    </row>
    <row r="36" spans="1:37">
      <c r="A36" t="s">
        <v>20</v>
      </c>
      <c r="B36">
        <v>51.359324649999998</v>
      </c>
      <c r="C36">
        <v>0.87481549700000005</v>
      </c>
      <c r="D36">
        <v>1.776453719</v>
      </c>
      <c r="E36">
        <v>5.8885659999999996E-3</v>
      </c>
      <c r="F36">
        <v>1.7476025669999999</v>
      </c>
      <c r="G36">
        <v>4.8539280000000004E-3</v>
      </c>
      <c r="H36">
        <v>-2.8851150999999998E-2</v>
      </c>
      <c r="I36">
        <v>2.97474E-3</v>
      </c>
      <c r="J36">
        <v>52.492522630000003</v>
      </c>
      <c r="K36">
        <v>50.349936319999998</v>
      </c>
      <c r="L36">
        <v>50.684826260000001</v>
      </c>
      <c r="M36">
        <v>51.910013380000002</v>
      </c>
      <c r="N36">
        <v>1.7848569299999999</v>
      </c>
      <c r="O36">
        <v>1.7749965599999999</v>
      </c>
      <c r="P36">
        <v>1.777554517</v>
      </c>
      <c r="Q36">
        <v>1.768406868</v>
      </c>
      <c r="R36">
        <v>1.753836403</v>
      </c>
      <c r="S36">
        <v>1.750244892</v>
      </c>
      <c r="T36">
        <v>1.7452866069999999</v>
      </c>
      <c r="U36">
        <v>1.7410423669999999</v>
      </c>
      <c r="V36">
        <v>-3.1020526999999999E-2</v>
      </c>
      <c r="W36">
        <v>-2.4751668000000001E-2</v>
      </c>
      <c r="X36">
        <v>-3.2267909999999997E-2</v>
      </c>
      <c r="Y36">
        <v>-2.7364500999999999E-2</v>
      </c>
      <c r="Z36">
        <v>26</v>
      </c>
      <c r="AA36">
        <v>54</v>
      </c>
      <c r="AB36">
        <v>6</v>
      </c>
      <c r="AC36">
        <v>9</v>
      </c>
      <c r="AD36">
        <v>93</v>
      </c>
      <c r="AE36">
        <v>62</v>
      </c>
      <c r="AF36">
        <v>1.56</v>
      </c>
      <c r="AG36">
        <v>2.16</v>
      </c>
      <c r="AH36">
        <v>8.5800000000000001E-2</v>
      </c>
      <c r="AI36">
        <v>6.8867999999999999E-2</v>
      </c>
      <c r="AJ36">
        <v>8.1467999999999999E-2</v>
      </c>
      <c r="AK36">
        <v>3.9561359999999999</v>
      </c>
    </row>
    <row r="37" spans="1:37">
      <c r="A37" t="s">
        <v>20</v>
      </c>
      <c r="B37">
        <v>30.184998329999999</v>
      </c>
      <c r="C37">
        <v>0.52657933099999998</v>
      </c>
      <c r="D37">
        <v>1.8035916700000001</v>
      </c>
      <c r="E37">
        <v>2.087626E-3</v>
      </c>
      <c r="F37">
        <v>1.770790375</v>
      </c>
      <c r="G37">
        <v>1.5816090000000001E-3</v>
      </c>
      <c r="H37">
        <v>-3.2801295000000001E-2</v>
      </c>
      <c r="I37">
        <v>2.5183200000000001E-3</v>
      </c>
      <c r="J37">
        <v>29.342853590000001</v>
      </c>
      <c r="K37">
        <v>30.41522617</v>
      </c>
      <c r="L37">
        <v>30.208371039999999</v>
      </c>
      <c r="M37">
        <v>30.773542519999999</v>
      </c>
      <c r="N37">
        <v>1.806361444</v>
      </c>
      <c r="O37">
        <v>1.8030069689999999</v>
      </c>
      <c r="P37">
        <v>1.8006240419999999</v>
      </c>
      <c r="Q37">
        <v>1.8043742250000001</v>
      </c>
      <c r="R37">
        <v>1.7692784239999999</v>
      </c>
      <c r="S37">
        <v>1.7708503840000001</v>
      </c>
      <c r="T37">
        <v>1.7696912039999999</v>
      </c>
      <c r="U37">
        <v>1.7733414869999999</v>
      </c>
      <c r="V37">
        <v>-3.7083020000000001E-2</v>
      </c>
      <c r="W37">
        <v>-3.2156585000000001E-2</v>
      </c>
      <c r="X37">
        <v>-3.0932838000000001E-2</v>
      </c>
      <c r="Y37">
        <v>-3.1032738000000001E-2</v>
      </c>
      <c r="Z37">
        <v>26</v>
      </c>
      <c r="AA37">
        <v>21</v>
      </c>
      <c r="AB37">
        <v>33</v>
      </c>
      <c r="AC37">
        <v>76</v>
      </c>
      <c r="AD37">
        <v>80</v>
      </c>
      <c r="AE37">
        <v>14</v>
      </c>
      <c r="AF37">
        <v>1.56</v>
      </c>
      <c r="AG37">
        <v>0.84</v>
      </c>
      <c r="AH37">
        <v>0.47189999999999999</v>
      </c>
      <c r="AI37">
        <v>0.58155199999999996</v>
      </c>
      <c r="AJ37">
        <v>7.0080000000000003E-2</v>
      </c>
      <c r="AK37">
        <v>3.5235319999999999</v>
      </c>
    </row>
    <row r="38" spans="1:37">
      <c r="A38" t="s">
        <v>20</v>
      </c>
      <c r="B38">
        <v>31.424666299999998</v>
      </c>
      <c r="C38">
        <v>2.1718212210000001</v>
      </c>
      <c r="D38">
        <v>1.8411959760000001</v>
      </c>
      <c r="E38">
        <v>1.6854577999999999E-2</v>
      </c>
      <c r="F38">
        <v>1.769598885</v>
      </c>
      <c r="G38">
        <v>8.0265949999999992E-3</v>
      </c>
      <c r="H38">
        <v>-7.1597091000000002E-2</v>
      </c>
      <c r="I38">
        <v>9.3825820000000004E-3</v>
      </c>
      <c r="J38">
        <v>32.663705350000001</v>
      </c>
      <c r="K38">
        <v>32.785628950000003</v>
      </c>
      <c r="L38">
        <v>32.584318699999997</v>
      </c>
      <c r="M38">
        <v>27.66501221</v>
      </c>
      <c r="N38">
        <v>1.849346669</v>
      </c>
      <c r="O38">
        <v>1.855975157</v>
      </c>
      <c r="P38">
        <v>1.8468856250000001</v>
      </c>
      <c r="Q38">
        <v>1.8125764529999999</v>
      </c>
      <c r="R38">
        <v>1.773996702</v>
      </c>
      <c r="S38">
        <v>1.7734199129999999</v>
      </c>
      <c r="T38">
        <v>1.7752359799999999</v>
      </c>
      <c r="U38">
        <v>1.755742946</v>
      </c>
      <c r="V38">
        <v>-7.5349967000000004E-2</v>
      </c>
      <c r="W38">
        <v>-8.2555244E-2</v>
      </c>
      <c r="X38">
        <v>-7.1649644999999998E-2</v>
      </c>
      <c r="Y38">
        <v>-5.6833506999999998E-2</v>
      </c>
      <c r="Z38">
        <v>0</v>
      </c>
      <c r="AA38">
        <v>20</v>
      </c>
      <c r="AB38">
        <v>25</v>
      </c>
      <c r="AC38">
        <v>39</v>
      </c>
      <c r="AD38">
        <v>98</v>
      </c>
      <c r="AE38">
        <v>68</v>
      </c>
      <c r="AF38">
        <v>0</v>
      </c>
      <c r="AG38">
        <v>0.8</v>
      </c>
      <c r="AH38">
        <v>0.35749999999999998</v>
      </c>
      <c r="AI38">
        <v>0.29842800000000003</v>
      </c>
      <c r="AJ38">
        <v>8.5847999999999994E-2</v>
      </c>
      <c r="AK38">
        <v>1.541776</v>
      </c>
    </row>
    <row r="39" spans="1:37">
      <c r="A39" t="s">
        <v>20</v>
      </c>
      <c r="B39">
        <v>49.438242580000001</v>
      </c>
      <c r="C39">
        <v>0.69089977400000002</v>
      </c>
      <c r="D39">
        <v>2.1184073429999999</v>
      </c>
      <c r="E39">
        <v>4.0494349999999997E-3</v>
      </c>
      <c r="F39">
        <v>2.0783342060000001</v>
      </c>
      <c r="G39">
        <v>1.5299689999999999E-3</v>
      </c>
      <c r="H39">
        <v>-4.0073138000000001E-2</v>
      </c>
      <c r="I39">
        <v>4.4491610000000001E-3</v>
      </c>
      <c r="J39">
        <v>48.725166659999999</v>
      </c>
      <c r="K39">
        <v>49.534460590000002</v>
      </c>
      <c r="L39">
        <v>48.971630259999998</v>
      </c>
      <c r="M39">
        <v>50.521712819999998</v>
      </c>
      <c r="N39">
        <v>2.1232977389999999</v>
      </c>
      <c r="O39">
        <v>2.1211653049999999</v>
      </c>
      <c r="P39">
        <v>2.1161356919999998</v>
      </c>
      <c r="Q39">
        <v>2.113030637</v>
      </c>
      <c r="R39">
        <v>2.0773051389999999</v>
      </c>
      <c r="S39">
        <v>2.080111493</v>
      </c>
      <c r="T39">
        <v>2.0764003550000001</v>
      </c>
      <c r="U39">
        <v>2.0795198359999998</v>
      </c>
      <c r="V39">
        <v>-4.5992600000000002E-2</v>
      </c>
      <c r="W39">
        <v>-4.1053812000000002E-2</v>
      </c>
      <c r="X39">
        <v>-3.9735337000000003E-2</v>
      </c>
      <c r="Y39">
        <v>-3.3510801E-2</v>
      </c>
      <c r="Z39">
        <v>57</v>
      </c>
      <c r="AA39">
        <v>0</v>
      </c>
      <c r="AB39">
        <v>10</v>
      </c>
      <c r="AC39">
        <v>18</v>
      </c>
      <c r="AD39">
        <v>19</v>
      </c>
      <c r="AE39">
        <v>146</v>
      </c>
      <c r="AF39">
        <v>3.42</v>
      </c>
      <c r="AG39">
        <v>0</v>
      </c>
      <c r="AH39">
        <v>0.14299999999999999</v>
      </c>
      <c r="AI39">
        <v>0.137736</v>
      </c>
      <c r="AJ39">
        <v>1.6643999999999999E-2</v>
      </c>
      <c r="AK39">
        <v>3.7173799999999999</v>
      </c>
    </row>
    <row r="40" spans="1:37">
      <c r="A40" t="s">
        <v>20</v>
      </c>
      <c r="B40">
        <v>29.96326981</v>
      </c>
      <c r="C40">
        <v>0.18245196399999999</v>
      </c>
      <c r="D40">
        <v>1.7274263700000001</v>
      </c>
      <c r="E40">
        <v>1.155756E-3</v>
      </c>
      <c r="F40">
        <v>1.7217180400000001</v>
      </c>
      <c r="G40">
        <v>2.654259E-3</v>
      </c>
      <c r="H40">
        <v>-5.7083300000000002E-3</v>
      </c>
      <c r="I40">
        <v>2.0451060000000001E-3</v>
      </c>
      <c r="J40">
        <v>29.850717070000002</v>
      </c>
      <c r="K40">
        <v>29.949183990000002</v>
      </c>
      <c r="L40">
        <v>30.263517019999998</v>
      </c>
      <c r="M40">
        <v>29.789661169999999</v>
      </c>
      <c r="N40">
        <v>1.728869872</v>
      </c>
      <c r="O40">
        <v>1.728096037</v>
      </c>
      <c r="P40">
        <v>1.7269074659999999</v>
      </c>
      <c r="Q40">
        <v>1.7258321059999999</v>
      </c>
      <c r="R40">
        <v>1.726217782</v>
      </c>
      <c r="S40">
        <v>1.7205166780000001</v>
      </c>
      <c r="T40">
        <v>1.719344365</v>
      </c>
      <c r="U40">
        <v>1.7207933360000001</v>
      </c>
      <c r="V40">
        <v>-2.6520900000000002E-3</v>
      </c>
      <c r="W40">
        <v>-7.5793589999999999E-3</v>
      </c>
      <c r="X40">
        <v>-7.563101E-3</v>
      </c>
      <c r="Y40">
        <v>-5.0387699999999997E-3</v>
      </c>
      <c r="Z40">
        <v>14</v>
      </c>
      <c r="AA40">
        <v>115</v>
      </c>
      <c r="AB40">
        <v>11</v>
      </c>
      <c r="AC40">
        <v>34</v>
      </c>
      <c r="AD40">
        <v>75</v>
      </c>
      <c r="AE40">
        <v>1</v>
      </c>
      <c r="AF40">
        <v>0.84</v>
      </c>
      <c r="AG40">
        <v>4.5999999999999996</v>
      </c>
      <c r="AH40">
        <v>0.1573</v>
      </c>
      <c r="AI40">
        <v>0.26016800000000001</v>
      </c>
      <c r="AJ40">
        <v>6.5699999999999995E-2</v>
      </c>
      <c r="AK40">
        <v>5.9231680000000004</v>
      </c>
    </row>
    <row r="41" spans="1:37">
      <c r="A41" t="s">
        <v>20</v>
      </c>
      <c r="B41">
        <v>8.1278406699999994</v>
      </c>
      <c r="C41">
        <v>0.19041692199999999</v>
      </c>
      <c r="D41">
        <v>2.1413326860000002</v>
      </c>
      <c r="E41">
        <v>1.948408E-3</v>
      </c>
      <c r="F41">
        <v>2.081289886</v>
      </c>
      <c r="G41">
        <v>1.6191059999999999E-3</v>
      </c>
      <c r="H41">
        <v>-6.00428E-2</v>
      </c>
      <c r="I41">
        <v>2.6697349999999999E-3</v>
      </c>
      <c r="J41">
        <v>7.8383899460000004</v>
      </c>
      <c r="K41">
        <v>8.0958936260000005</v>
      </c>
      <c r="L41">
        <v>8.2230268889999998</v>
      </c>
      <c r="M41">
        <v>8.3540522199999998</v>
      </c>
      <c r="N41">
        <v>2.1432032460000001</v>
      </c>
      <c r="O41">
        <v>2.142812132</v>
      </c>
      <c r="P41">
        <v>2.1410516240000002</v>
      </c>
      <c r="Q41">
        <v>2.1382637419999999</v>
      </c>
      <c r="R41">
        <v>2.0788650359999998</v>
      </c>
      <c r="S41">
        <v>2.083410937</v>
      </c>
      <c r="T41">
        <v>2.081616592</v>
      </c>
      <c r="U41">
        <v>2.0812669800000001</v>
      </c>
      <c r="V41">
        <v>-6.4338210000000007E-2</v>
      </c>
      <c r="W41">
        <v>-5.9401194999999997E-2</v>
      </c>
      <c r="X41">
        <v>-5.9435031999999999E-2</v>
      </c>
      <c r="Y41">
        <v>-5.6996761999999999E-2</v>
      </c>
      <c r="Z41">
        <v>9</v>
      </c>
      <c r="AA41">
        <v>0</v>
      </c>
      <c r="AB41">
        <v>8</v>
      </c>
      <c r="AC41">
        <v>101</v>
      </c>
      <c r="AD41">
        <v>11</v>
      </c>
      <c r="AE41">
        <v>121</v>
      </c>
      <c r="AF41">
        <v>0.54</v>
      </c>
      <c r="AG41">
        <v>0</v>
      </c>
      <c r="AH41">
        <v>0.1144</v>
      </c>
      <c r="AI41">
        <v>0.77285199999999998</v>
      </c>
      <c r="AJ41">
        <v>9.6360000000000005E-3</v>
      </c>
      <c r="AK41">
        <v>1.4368879999999999</v>
      </c>
    </row>
    <row r="42" spans="1:37">
      <c r="A42" t="s">
        <v>20</v>
      </c>
      <c r="B42">
        <v>23.930847199999999</v>
      </c>
      <c r="C42">
        <v>0.41136086300000002</v>
      </c>
      <c r="D42">
        <v>1.772983524</v>
      </c>
      <c r="E42">
        <v>3.5222059999999999E-3</v>
      </c>
      <c r="F42">
        <v>1.780593595</v>
      </c>
      <c r="G42">
        <v>2.8957290000000001E-3</v>
      </c>
      <c r="H42">
        <v>7.6100710000000004E-3</v>
      </c>
      <c r="I42">
        <v>4.5996819999999999E-3</v>
      </c>
      <c r="J42">
        <v>24.507674510000001</v>
      </c>
      <c r="K42">
        <v>23.41910245</v>
      </c>
      <c r="L42">
        <v>23.698130079999999</v>
      </c>
      <c r="M42">
        <v>24.098481759999999</v>
      </c>
      <c r="N42">
        <v>1.773016924</v>
      </c>
      <c r="O42">
        <v>1.768443523</v>
      </c>
      <c r="P42">
        <v>1.7721662979999999</v>
      </c>
      <c r="Q42">
        <v>1.7783073519999999</v>
      </c>
      <c r="R42">
        <v>1.78553242</v>
      </c>
      <c r="S42">
        <v>1.7785308419999999</v>
      </c>
      <c r="T42">
        <v>1.7797712489999999</v>
      </c>
      <c r="U42">
        <v>1.7785398690000001</v>
      </c>
      <c r="V42">
        <v>1.2515495999999999E-2</v>
      </c>
      <c r="W42">
        <v>1.0087319000000001E-2</v>
      </c>
      <c r="X42">
        <v>7.6049510000000004E-3</v>
      </c>
      <c r="Y42">
        <v>2.3251700000000001E-4</v>
      </c>
      <c r="Z42">
        <v>70</v>
      </c>
      <c r="AA42">
        <v>26</v>
      </c>
      <c r="AB42">
        <v>6</v>
      </c>
      <c r="AC42">
        <v>96</v>
      </c>
      <c r="AD42">
        <v>51</v>
      </c>
      <c r="AE42">
        <v>1</v>
      </c>
      <c r="AF42">
        <v>4.2</v>
      </c>
      <c r="AG42">
        <v>1.04</v>
      </c>
      <c r="AH42">
        <v>8.5800000000000001E-2</v>
      </c>
      <c r="AI42">
        <v>0.73459200000000002</v>
      </c>
      <c r="AJ42">
        <v>4.4676E-2</v>
      </c>
      <c r="AK42">
        <v>6.1050680000000002</v>
      </c>
    </row>
    <row r="43" spans="1:37">
      <c r="A43" t="s">
        <v>20</v>
      </c>
      <c r="B43">
        <v>8.1825575439999998</v>
      </c>
      <c r="C43">
        <v>0.33840279200000001</v>
      </c>
      <c r="D43">
        <v>1.7205469920000001</v>
      </c>
      <c r="E43">
        <v>3.1075920000000002E-3</v>
      </c>
      <c r="F43">
        <v>1.699148651</v>
      </c>
      <c r="G43">
        <v>3.9721929999999997E-3</v>
      </c>
      <c r="H43">
        <v>-2.1398342000000001E-2</v>
      </c>
      <c r="I43">
        <v>1.014142E-3</v>
      </c>
      <c r="J43">
        <v>7.6054158190000001</v>
      </c>
      <c r="K43">
        <v>8.325375331</v>
      </c>
      <c r="L43">
        <v>8.4713353819999995</v>
      </c>
      <c r="M43">
        <v>8.3281036430000004</v>
      </c>
      <c r="N43">
        <v>1.72588013</v>
      </c>
      <c r="O43">
        <v>1.7187066339999999</v>
      </c>
      <c r="P43">
        <v>1.7193919870000001</v>
      </c>
      <c r="Q43">
        <v>1.7182092170000001</v>
      </c>
      <c r="R43">
        <v>1.706012342</v>
      </c>
      <c r="S43">
        <v>1.6964151199999999</v>
      </c>
      <c r="T43">
        <v>1.6970542879999999</v>
      </c>
      <c r="U43">
        <v>1.6971128520000001</v>
      </c>
      <c r="V43">
        <v>-1.9867788000000001E-2</v>
      </c>
      <c r="W43">
        <v>-2.2291513999999998E-2</v>
      </c>
      <c r="X43">
        <v>-2.2337698999999999E-2</v>
      </c>
      <c r="Y43">
        <v>-2.1096364999999999E-2</v>
      </c>
      <c r="Z43">
        <v>67</v>
      </c>
      <c r="AA43">
        <v>53</v>
      </c>
      <c r="AB43">
        <v>0</v>
      </c>
      <c r="AC43">
        <v>6</v>
      </c>
      <c r="AD43">
        <v>7</v>
      </c>
      <c r="AE43">
        <v>117</v>
      </c>
      <c r="AF43">
        <v>4.0199999999999996</v>
      </c>
      <c r="AG43">
        <v>2.12</v>
      </c>
      <c r="AH43">
        <v>0</v>
      </c>
      <c r="AI43">
        <v>4.5912000000000001E-2</v>
      </c>
      <c r="AJ43">
        <v>6.1320000000000003E-3</v>
      </c>
      <c r="AK43">
        <v>6.1920440000000001</v>
      </c>
    </row>
    <row r="44" spans="1:37">
      <c r="A44" t="s">
        <v>20</v>
      </c>
      <c r="B44">
        <v>20.4533369</v>
      </c>
      <c r="C44">
        <v>0.71151486100000005</v>
      </c>
      <c r="D44">
        <v>1.7866745900000001</v>
      </c>
      <c r="E44">
        <v>4.2222290000000001E-3</v>
      </c>
      <c r="F44">
        <v>1.748997353</v>
      </c>
      <c r="G44">
        <v>2.5761769999999998E-3</v>
      </c>
      <c r="H44">
        <v>-3.7677238000000002E-2</v>
      </c>
      <c r="I44">
        <v>4.4291670000000003E-3</v>
      </c>
      <c r="J44">
        <v>20.50292043</v>
      </c>
      <c r="K44">
        <v>19.426678559999999</v>
      </c>
      <c r="L44">
        <v>20.446298809999998</v>
      </c>
      <c r="M44">
        <v>21.437449789999999</v>
      </c>
      <c r="N44">
        <v>1.7934231270000001</v>
      </c>
      <c r="O44">
        <v>1.786707807</v>
      </c>
      <c r="P44">
        <v>1.7821070809999999</v>
      </c>
      <c r="Q44">
        <v>1.7844603459999999</v>
      </c>
      <c r="R44">
        <v>1.7514189419999999</v>
      </c>
      <c r="S44">
        <v>1.7446567019999999</v>
      </c>
      <c r="T44">
        <v>1.749956005</v>
      </c>
      <c r="U44">
        <v>1.749957762</v>
      </c>
      <c r="V44">
        <v>-4.2004184999999999E-2</v>
      </c>
      <c r="W44">
        <v>-4.2051104999999998E-2</v>
      </c>
      <c r="X44">
        <v>-3.2151076000000001E-2</v>
      </c>
      <c r="Y44">
        <v>-3.4502584000000003E-2</v>
      </c>
      <c r="Z44">
        <v>20</v>
      </c>
      <c r="AA44">
        <v>31</v>
      </c>
      <c r="AB44">
        <v>16</v>
      </c>
      <c r="AC44">
        <v>87</v>
      </c>
      <c r="AD44">
        <v>35</v>
      </c>
      <c r="AE44">
        <v>61</v>
      </c>
      <c r="AF44">
        <v>1.2</v>
      </c>
      <c r="AG44">
        <v>1.24</v>
      </c>
      <c r="AH44">
        <v>0.2288</v>
      </c>
      <c r="AI44">
        <v>0.66572399999999998</v>
      </c>
      <c r="AJ44">
        <v>3.066E-2</v>
      </c>
      <c r="AK44">
        <v>3.3651840000000002</v>
      </c>
    </row>
    <row r="45" spans="1:37">
      <c r="A45" t="s">
        <v>20</v>
      </c>
      <c r="B45">
        <v>30.61668835</v>
      </c>
      <c r="C45">
        <v>0.60973517099999996</v>
      </c>
      <c r="D45">
        <v>1.75212598</v>
      </c>
      <c r="E45">
        <v>7.9948169999999995E-3</v>
      </c>
      <c r="F45">
        <v>1.752017865</v>
      </c>
      <c r="G45">
        <v>9.9491199999999992E-4</v>
      </c>
      <c r="H45">
        <v>-1.08115E-4</v>
      </c>
      <c r="I45">
        <v>7.0125650000000001E-3</v>
      </c>
      <c r="J45">
        <v>30.22729726</v>
      </c>
      <c r="K45">
        <v>30.398691020000001</v>
      </c>
      <c r="L45">
        <v>30.177584029999998</v>
      </c>
      <c r="M45">
        <v>31.663181089999998</v>
      </c>
      <c r="N45">
        <v>1.7554726409999999</v>
      </c>
      <c r="O45">
        <v>1.7535429279999999</v>
      </c>
      <c r="P45">
        <v>1.7389944180000001</v>
      </c>
      <c r="Q45">
        <v>1.7604939319999999</v>
      </c>
      <c r="R45">
        <v>1.7526776079999999</v>
      </c>
      <c r="S45">
        <v>1.7521202849999999</v>
      </c>
      <c r="T45">
        <v>1.750367295</v>
      </c>
      <c r="U45">
        <v>1.752906273</v>
      </c>
      <c r="V45">
        <v>-2.7950330000000002E-3</v>
      </c>
      <c r="W45">
        <v>-1.4226429999999999E-3</v>
      </c>
      <c r="X45">
        <v>1.1372877E-2</v>
      </c>
      <c r="Y45">
        <v>-7.5876590000000001E-3</v>
      </c>
      <c r="Z45">
        <v>69</v>
      </c>
      <c r="AA45">
        <v>67</v>
      </c>
      <c r="AB45">
        <v>0</v>
      </c>
      <c r="AC45">
        <v>10</v>
      </c>
      <c r="AD45">
        <v>101</v>
      </c>
      <c r="AE45">
        <v>3</v>
      </c>
      <c r="AF45">
        <v>4.1399999999999997</v>
      </c>
      <c r="AG45">
        <v>2.68</v>
      </c>
      <c r="AH45">
        <v>0</v>
      </c>
      <c r="AI45">
        <v>7.6520000000000005E-2</v>
      </c>
      <c r="AJ45">
        <v>8.8475999999999999E-2</v>
      </c>
      <c r="AK45">
        <v>6.9849959999999998</v>
      </c>
    </row>
    <row r="46" spans="1:37">
      <c r="A46" t="s">
        <v>20</v>
      </c>
      <c r="B46">
        <v>46.294795039999997</v>
      </c>
      <c r="C46">
        <v>0.20724815199999999</v>
      </c>
      <c r="D46">
        <v>0.17251710200000001</v>
      </c>
      <c r="E46">
        <v>3.102736E-3</v>
      </c>
      <c r="F46">
        <v>0.14486912299999999</v>
      </c>
      <c r="G46">
        <v>3.2411139999999998E-3</v>
      </c>
      <c r="H46">
        <v>-2.7647979999999999E-2</v>
      </c>
      <c r="I46">
        <v>5.5498099999999996E-4</v>
      </c>
      <c r="J46">
        <v>43.691953810000001</v>
      </c>
      <c r="K46">
        <v>46.157313940000002</v>
      </c>
      <c r="L46">
        <v>46.13936623</v>
      </c>
      <c r="M46">
        <v>46.587704960000003</v>
      </c>
      <c r="N46">
        <v>1.7876121780000001</v>
      </c>
      <c r="O46">
        <v>0.17340503700000001</v>
      </c>
      <c r="P46">
        <v>0.17579457700000001</v>
      </c>
      <c r="Q46">
        <v>0.168351693</v>
      </c>
      <c r="R46">
        <v>1.763265705</v>
      </c>
      <c r="S46">
        <v>0.14654136600000001</v>
      </c>
      <c r="T46">
        <v>0.14772893600000001</v>
      </c>
      <c r="U46">
        <v>0.14033706600000001</v>
      </c>
      <c r="V46">
        <v>-2.4346473E-2</v>
      </c>
      <c r="W46">
        <v>-2.6863670999999999E-2</v>
      </c>
      <c r="X46">
        <v>-2.8065640999999999E-2</v>
      </c>
      <c r="Y46">
        <v>-2.8014627E-2</v>
      </c>
      <c r="Z46">
        <v>29</v>
      </c>
      <c r="AA46">
        <v>32</v>
      </c>
      <c r="AB46">
        <v>13</v>
      </c>
      <c r="AC46">
        <v>42</v>
      </c>
      <c r="AD46">
        <v>129</v>
      </c>
      <c r="AE46">
        <v>5</v>
      </c>
      <c r="AF46">
        <v>1.74</v>
      </c>
      <c r="AG46">
        <v>1.28</v>
      </c>
      <c r="AH46">
        <v>0.18590000000000001</v>
      </c>
      <c r="AI46">
        <v>0.321384</v>
      </c>
      <c r="AJ46">
        <v>0.11300399999999999</v>
      </c>
      <c r="AK46">
        <v>3.640288</v>
      </c>
    </row>
    <row r="47" spans="1:37">
      <c r="A47" t="s">
        <v>20</v>
      </c>
      <c r="B47">
        <v>32.120281599999998</v>
      </c>
      <c r="C47">
        <v>1.1295194239999999</v>
      </c>
      <c r="D47">
        <v>2.630030922</v>
      </c>
      <c r="E47">
        <v>0.60631999700000005</v>
      </c>
      <c r="F47">
        <v>2.5960388569999999</v>
      </c>
      <c r="G47">
        <v>0.59160009700000005</v>
      </c>
      <c r="H47">
        <v>-3.3992065000000002E-2</v>
      </c>
      <c r="I47">
        <v>1.4750019E-2</v>
      </c>
      <c r="J47">
        <v>31.57383072</v>
      </c>
      <c r="K47">
        <v>14.63431467</v>
      </c>
      <c r="L47">
        <v>31.093597509999999</v>
      </c>
      <c r="M47">
        <v>33.693416560000003</v>
      </c>
      <c r="N47">
        <v>1.7734031210000001</v>
      </c>
      <c r="O47">
        <v>0</v>
      </c>
      <c r="P47">
        <v>3.0255193029999998</v>
      </c>
      <c r="Q47">
        <v>3.0911703429999999</v>
      </c>
      <c r="R47">
        <v>1.760150645</v>
      </c>
      <c r="S47">
        <v>0</v>
      </c>
      <c r="T47">
        <v>2.9830930790000001</v>
      </c>
      <c r="U47">
        <v>3.0448728479999998</v>
      </c>
      <c r="V47">
        <v>-1.3252475999999999E-2</v>
      </c>
      <c r="W47">
        <v>0</v>
      </c>
      <c r="X47">
        <v>-4.2426223999999998E-2</v>
      </c>
      <c r="Y47">
        <v>-4.6297495000000001E-2</v>
      </c>
      <c r="Z47">
        <v>50</v>
      </c>
      <c r="AA47">
        <v>34</v>
      </c>
      <c r="AB47">
        <v>40</v>
      </c>
      <c r="AC47">
        <v>102</v>
      </c>
      <c r="AD47">
        <v>17</v>
      </c>
      <c r="AE47">
        <v>7</v>
      </c>
      <c r="AF47">
        <v>3</v>
      </c>
      <c r="AG47">
        <v>1.36</v>
      </c>
      <c r="AH47">
        <v>0.57199999999999995</v>
      </c>
      <c r="AI47">
        <v>0.78050399999999998</v>
      </c>
      <c r="AJ47">
        <v>1.4892000000000001E-2</v>
      </c>
      <c r="AK47">
        <v>5.7273959999999997</v>
      </c>
    </row>
    <row r="48" spans="1:37">
      <c r="A48" t="s">
        <v>20</v>
      </c>
      <c r="B48">
        <v>41.640605440000002</v>
      </c>
      <c r="C48">
        <v>0.39404965800000002</v>
      </c>
      <c r="D48">
        <v>1.7354902720000001</v>
      </c>
      <c r="E48">
        <v>1.4442986999999999E-2</v>
      </c>
      <c r="F48">
        <v>1.7257935639999999</v>
      </c>
      <c r="G48">
        <v>4.2004420000000004E-3</v>
      </c>
      <c r="H48">
        <v>-9.6967080000000001E-3</v>
      </c>
      <c r="I48">
        <v>1.1299071000000001E-2</v>
      </c>
      <c r="J48">
        <v>41.616775189999998</v>
      </c>
      <c r="K48">
        <v>42.238714219999999</v>
      </c>
      <c r="L48">
        <v>41.574713359999997</v>
      </c>
      <c r="M48">
        <v>41.132218999999999</v>
      </c>
      <c r="N48">
        <v>1.7109702840000001</v>
      </c>
      <c r="O48">
        <v>1.7482576089999999</v>
      </c>
      <c r="P48">
        <v>1.742109023</v>
      </c>
      <c r="Q48">
        <v>1.740624172</v>
      </c>
      <c r="R48">
        <v>1.7208260310000001</v>
      </c>
      <c r="S48">
        <v>1.7324576810000001</v>
      </c>
      <c r="T48">
        <v>1.7251014840000001</v>
      </c>
      <c r="U48">
        <v>1.7247890589999999</v>
      </c>
      <c r="V48">
        <v>9.8557469999999998E-3</v>
      </c>
      <c r="W48">
        <v>-1.5799928000000001E-2</v>
      </c>
      <c r="X48">
        <v>-1.7007538999999999E-2</v>
      </c>
      <c r="Y48">
        <v>-1.5835113000000001E-2</v>
      </c>
      <c r="Z48">
        <v>9</v>
      </c>
      <c r="AA48">
        <v>80</v>
      </c>
      <c r="AB48">
        <v>75</v>
      </c>
      <c r="AC48">
        <v>20</v>
      </c>
      <c r="AD48">
        <v>23</v>
      </c>
      <c r="AE48">
        <v>43</v>
      </c>
      <c r="AF48">
        <v>0.54</v>
      </c>
      <c r="AG48">
        <v>3.2</v>
      </c>
      <c r="AH48">
        <v>1.0725</v>
      </c>
      <c r="AI48">
        <v>0.15304000000000001</v>
      </c>
      <c r="AJ48">
        <v>2.0147999999999999E-2</v>
      </c>
      <c r="AK48">
        <v>4.9856879999999997</v>
      </c>
    </row>
    <row r="49" spans="1:37">
      <c r="A49" t="s">
        <v>20</v>
      </c>
      <c r="B49">
        <v>33.256152659999998</v>
      </c>
      <c r="C49">
        <v>5.7763224690000001</v>
      </c>
      <c r="D49">
        <v>2.1013573970000001</v>
      </c>
      <c r="E49">
        <v>0.21974696899999999</v>
      </c>
      <c r="F49">
        <v>2.0735709959999999</v>
      </c>
      <c r="G49">
        <v>0.20980813700000001</v>
      </c>
      <c r="H49">
        <v>-2.7786400999999999E-2</v>
      </c>
      <c r="I49">
        <v>1.0253140000000001E-2</v>
      </c>
      <c r="J49">
        <v>29.790565539999999</v>
      </c>
      <c r="K49">
        <v>8.9757402959999997</v>
      </c>
      <c r="L49">
        <v>28.582610970000001</v>
      </c>
      <c r="M49">
        <v>41.39528147</v>
      </c>
      <c r="N49">
        <v>1.797418621</v>
      </c>
      <c r="O49">
        <v>0</v>
      </c>
      <c r="P49">
        <v>2.1972107410000001</v>
      </c>
      <c r="Q49">
        <v>2.3094428300000001</v>
      </c>
      <c r="R49">
        <v>1.78412474</v>
      </c>
      <c r="S49">
        <v>0</v>
      </c>
      <c r="T49">
        <v>2.161771296</v>
      </c>
      <c r="U49">
        <v>2.2748169530000002</v>
      </c>
      <c r="V49">
        <v>-1.3293881E-2</v>
      </c>
      <c r="W49">
        <v>0</v>
      </c>
      <c r="X49">
        <v>-3.5439445E-2</v>
      </c>
      <c r="Y49">
        <v>-3.4625876999999999E-2</v>
      </c>
      <c r="Z49">
        <v>73</v>
      </c>
      <c r="AA49">
        <v>14</v>
      </c>
      <c r="AB49">
        <v>105</v>
      </c>
      <c r="AC49">
        <v>14</v>
      </c>
      <c r="AD49">
        <v>0</v>
      </c>
      <c r="AE49">
        <v>44</v>
      </c>
      <c r="AF49">
        <v>4.38</v>
      </c>
      <c r="AG49">
        <v>0.56000000000000005</v>
      </c>
      <c r="AH49">
        <v>1.5015000000000001</v>
      </c>
      <c r="AI49">
        <v>0.107128</v>
      </c>
      <c r="AJ49">
        <v>0</v>
      </c>
      <c r="AK49">
        <v>6.5486279999999999</v>
      </c>
    </row>
    <row r="50" spans="1:37">
      <c r="A50" t="s">
        <v>20</v>
      </c>
      <c r="B50">
        <v>0.19662432699999999</v>
      </c>
      <c r="C50">
        <v>0.27806879000000001</v>
      </c>
      <c r="D50">
        <v>0.72459624700000003</v>
      </c>
      <c r="E50">
        <v>1.0247338399999999</v>
      </c>
      <c r="F50">
        <v>0.72459624700000003</v>
      </c>
      <c r="G50">
        <v>1.0247338399999999</v>
      </c>
      <c r="H50">
        <v>0</v>
      </c>
      <c r="I50">
        <v>0</v>
      </c>
      <c r="J50">
        <v>0.58987298200000005</v>
      </c>
      <c r="K50">
        <v>0.98123867899999995</v>
      </c>
      <c r="L50">
        <v>0</v>
      </c>
      <c r="M50">
        <v>0</v>
      </c>
      <c r="N50">
        <v>0</v>
      </c>
      <c r="O50">
        <v>0</v>
      </c>
      <c r="P50">
        <v>2.1737887410000001</v>
      </c>
      <c r="Q50">
        <v>0</v>
      </c>
      <c r="R50">
        <v>0</v>
      </c>
      <c r="S50">
        <v>0</v>
      </c>
      <c r="T50">
        <v>2.1737887410000001</v>
      </c>
      <c r="U50">
        <v>0</v>
      </c>
      <c r="V50">
        <v>0</v>
      </c>
      <c r="W50">
        <v>0</v>
      </c>
      <c r="X50">
        <v>0</v>
      </c>
      <c r="Y50">
        <v>0</v>
      </c>
      <c r="Z50">
        <v>32</v>
      </c>
      <c r="AA50">
        <v>69</v>
      </c>
      <c r="AB50">
        <v>108</v>
      </c>
      <c r="AC50">
        <v>19</v>
      </c>
      <c r="AD50">
        <v>13</v>
      </c>
      <c r="AE50">
        <v>9</v>
      </c>
      <c r="AF50">
        <v>1.92</v>
      </c>
      <c r="AG50">
        <v>2.76</v>
      </c>
      <c r="AH50">
        <v>1.5444</v>
      </c>
      <c r="AI50">
        <v>0.14538799999999999</v>
      </c>
      <c r="AJ50">
        <v>1.1388000000000001E-2</v>
      </c>
      <c r="AK50">
        <v>6.381176</v>
      </c>
    </row>
    <row r="51" spans="1:37">
      <c r="A51" t="s">
        <v>20</v>
      </c>
      <c r="B51">
        <v>28.03564557</v>
      </c>
      <c r="C51">
        <v>0.65585603000000003</v>
      </c>
      <c r="D51">
        <v>2.1697851859999999</v>
      </c>
      <c r="E51">
        <v>6.954717E-3</v>
      </c>
      <c r="F51">
        <v>2.142567401</v>
      </c>
      <c r="G51">
        <v>8.1215679999999991E-3</v>
      </c>
      <c r="H51">
        <v>-2.7217785000000001E-2</v>
      </c>
      <c r="I51">
        <v>1.1671870000000001E-3</v>
      </c>
      <c r="J51">
        <v>27.15421632</v>
      </c>
      <c r="K51">
        <v>28.726425299999999</v>
      </c>
      <c r="L51">
        <v>28.226295090000001</v>
      </c>
      <c r="M51">
        <v>47.517072900000002</v>
      </c>
      <c r="N51">
        <v>2.1796206059999998</v>
      </c>
      <c r="O51">
        <v>2.1648905549999999</v>
      </c>
      <c r="P51">
        <v>2.1648443980000001</v>
      </c>
      <c r="Q51">
        <v>1.601888298</v>
      </c>
      <c r="R51">
        <v>2.1540530269999998</v>
      </c>
      <c r="S51">
        <v>2.1368144679999999</v>
      </c>
      <c r="T51">
        <v>2.1368347079999999</v>
      </c>
      <c r="U51">
        <v>1.5751063009999999</v>
      </c>
      <c r="V51">
        <v>-2.5567579E-2</v>
      </c>
      <c r="W51">
        <v>-2.8076087E-2</v>
      </c>
      <c r="X51">
        <v>-2.800969E-2</v>
      </c>
      <c r="Y51">
        <v>-2.6781996999999998E-2</v>
      </c>
      <c r="Z51">
        <v>12</v>
      </c>
      <c r="AA51">
        <v>0</v>
      </c>
      <c r="AB51">
        <v>40</v>
      </c>
      <c r="AC51">
        <v>105</v>
      </c>
      <c r="AD51">
        <v>16</v>
      </c>
      <c r="AE51">
        <v>77</v>
      </c>
      <c r="AF51">
        <v>0.72</v>
      </c>
      <c r="AG51">
        <v>0</v>
      </c>
      <c r="AH51">
        <v>0.57199999999999995</v>
      </c>
      <c r="AI51">
        <v>0.80345999999999995</v>
      </c>
      <c r="AJ51">
        <v>1.4016000000000001E-2</v>
      </c>
      <c r="AK51">
        <v>2.1094759999999999</v>
      </c>
    </row>
    <row r="52" spans="1:37">
      <c r="A52" t="s">
        <v>20</v>
      </c>
      <c r="B52">
        <v>18.072113680000001</v>
      </c>
      <c r="C52">
        <v>0.37416019700000003</v>
      </c>
      <c r="D52">
        <v>2.2288141389999998</v>
      </c>
      <c r="E52">
        <v>7.3914999999999996E-3</v>
      </c>
      <c r="F52">
        <v>2.158440498</v>
      </c>
      <c r="G52">
        <v>1.6247989999999999E-3</v>
      </c>
      <c r="H52">
        <v>-7.0373641000000001E-2</v>
      </c>
      <c r="I52">
        <v>9.0113950000000002E-3</v>
      </c>
      <c r="J52">
        <v>22.83920445</v>
      </c>
      <c r="K52">
        <v>18.135770229999999</v>
      </c>
      <c r="L52">
        <v>18.49520811</v>
      </c>
      <c r="M52">
        <v>17.585362709999998</v>
      </c>
      <c r="N52">
        <v>2.21786672</v>
      </c>
      <c r="O52">
        <v>2.222952689</v>
      </c>
      <c r="P52">
        <v>2.2242492669999998</v>
      </c>
      <c r="Q52">
        <v>2.23924046</v>
      </c>
      <c r="R52">
        <v>2.177474165</v>
      </c>
      <c r="S52">
        <v>2.1595611350000001</v>
      </c>
      <c r="T52">
        <v>2.1596174430000001</v>
      </c>
      <c r="U52">
        <v>2.1561429150000002</v>
      </c>
      <c r="V52">
        <v>-4.0392554999999997E-2</v>
      </c>
      <c r="W52">
        <v>-6.3391554000000003E-2</v>
      </c>
      <c r="X52">
        <v>-6.4631824000000004E-2</v>
      </c>
      <c r="Y52">
        <v>-8.3097544999999995E-2</v>
      </c>
      <c r="Z52">
        <v>7</v>
      </c>
      <c r="AA52">
        <v>0</v>
      </c>
      <c r="AB52">
        <v>24</v>
      </c>
      <c r="AC52">
        <v>15</v>
      </c>
      <c r="AD52">
        <v>128</v>
      </c>
      <c r="AE52">
        <v>76</v>
      </c>
      <c r="AF52">
        <v>0.42</v>
      </c>
      <c r="AG52">
        <v>0</v>
      </c>
      <c r="AH52">
        <v>0.34320000000000001</v>
      </c>
      <c r="AI52">
        <v>0.11477999999999999</v>
      </c>
      <c r="AJ52">
        <v>0.11212800000000001</v>
      </c>
      <c r="AK52">
        <v>0.99010799999999999</v>
      </c>
    </row>
    <row r="53" spans="1:37">
      <c r="A53" t="s">
        <v>20</v>
      </c>
      <c r="B53">
        <v>19.163622889999999</v>
      </c>
      <c r="C53">
        <v>27.101450069999999</v>
      </c>
      <c r="D53">
        <v>1.588073109</v>
      </c>
      <c r="E53">
        <v>1.129958588</v>
      </c>
      <c r="F53">
        <v>1.709452974</v>
      </c>
      <c r="G53">
        <v>1.239526801</v>
      </c>
      <c r="H53">
        <v>0.121379865</v>
      </c>
      <c r="I53">
        <v>0.171657052</v>
      </c>
      <c r="J53">
        <v>57.595957859999999</v>
      </c>
      <c r="K53">
        <v>0</v>
      </c>
      <c r="L53">
        <v>57.49086114</v>
      </c>
      <c r="M53" s="5" t="s">
        <v>45</v>
      </c>
      <c r="N53">
        <v>1.7250869550000001</v>
      </c>
      <c r="O53">
        <v>2.2280724369999998</v>
      </c>
      <c r="P53">
        <v>2.5361468899999999</v>
      </c>
      <c r="Q53">
        <v>0</v>
      </c>
      <c r="R53">
        <v>1.7362522300000001</v>
      </c>
      <c r="S53">
        <v>2.2280724369999998</v>
      </c>
      <c r="T53">
        <v>2.9002864860000002</v>
      </c>
      <c r="U53">
        <v>0</v>
      </c>
      <c r="V53">
        <v>1.1165275000000001E-2</v>
      </c>
      <c r="W53">
        <v>0</v>
      </c>
      <c r="X53">
        <v>0.36413959600000001</v>
      </c>
      <c r="Y53">
        <v>0</v>
      </c>
      <c r="Z53">
        <v>35</v>
      </c>
      <c r="AA53">
        <v>40</v>
      </c>
      <c r="AB53">
        <v>105</v>
      </c>
      <c r="AC53">
        <v>13</v>
      </c>
      <c r="AD53">
        <v>31</v>
      </c>
      <c r="AE53">
        <v>26</v>
      </c>
      <c r="AF53">
        <v>2.1</v>
      </c>
      <c r="AG53">
        <v>1.6</v>
      </c>
      <c r="AH53">
        <v>1.5015000000000001</v>
      </c>
      <c r="AI53">
        <v>9.9475999999999995E-2</v>
      </c>
      <c r="AJ53">
        <v>2.7156E-2</v>
      </c>
      <c r="AK53">
        <v>5.3281320000000001</v>
      </c>
    </row>
    <row r="54" spans="1:37">
      <c r="A54" t="s">
        <v>20</v>
      </c>
      <c r="B54">
        <v>37.447671900000003</v>
      </c>
      <c r="C54">
        <v>0.93390555600000003</v>
      </c>
      <c r="D54">
        <v>1.880090166</v>
      </c>
      <c r="E54">
        <v>2.9873539999999998E-3</v>
      </c>
      <c r="F54">
        <v>1.8023800240000001</v>
      </c>
      <c r="G54">
        <v>1.8468790000000001E-3</v>
      </c>
      <c r="H54">
        <v>-7.7710141999999996E-2</v>
      </c>
      <c r="I54">
        <v>1.5859190000000001E-3</v>
      </c>
      <c r="J54">
        <v>36.394235590000001</v>
      </c>
      <c r="K54">
        <v>37.178064030000002</v>
      </c>
      <c r="L54">
        <v>37.263298329999998</v>
      </c>
      <c r="M54">
        <v>38.955089649999998</v>
      </c>
      <c r="N54">
        <v>1.8809091010000001</v>
      </c>
      <c r="O54">
        <v>1.875040367</v>
      </c>
      <c r="P54">
        <v>1.8816689870000001</v>
      </c>
      <c r="Q54">
        <v>1.88274221</v>
      </c>
      <c r="R54">
        <v>1.804268784</v>
      </c>
      <c r="S54">
        <v>1.799347934</v>
      </c>
      <c r="T54">
        <v>1.802613123</v>
      </c>
      <c r="U54">
        <v>1.8032902559999999</v>
      </c>
      <c r="V54">
        <v>-7.6640316999999999E-2</v>
      </c>
      <c r="W54">
        <v>-7.5692433000000003E-2</v>
      </c>
      <c r="X54">
        <v>-7.9055864000000003E-2</v>
      </c>
      <c r="Y54">
        <v>-7.9451954000000005E-2</v>
      </c>
      <c r="Z54">
        <v>10</v>
      </c>
      <c r="AA54">
        <v>10</v>
      </c>
      <c r="AB54">
        <v>45</v>
      </c>
      <c r="AC54">
        <v>5</v>
      </c>
      <c r="AD54">
        <v>50</v>
      </c>
      <c r="AE54">
        <v>130</v>
      </c>
      <c r="AF54">
        <v>0.6</v>
      </c>
      <c r="AG54">
        <v>0.4</v>
      </c>
      <c r="AH54">
        <v>0.64349999999999996</v>
      </c>
      <c r="AI54">
        <v>3.8260000000000002E-2</v>
      </c>
      <c r="AJ54">
        <v>4.3799999999999999E-2</v>
      </c>
      <c r="AK54">
        <v>1.72556</v>
      </c>
    </row>
    <row r="55" spans="1:37">
      <c r="A55" t="s">
        <v>20</v>
      </c>
      <c r="B55">
        <v>52.173448460000003</v>
      </c>
      <c r="C55">
        <v>1.0685726950000001</v>
      </c>
      <c r="D55">
        <v>1.7766595489999999</v>
      </c>
      <c r="E55">
        <v>6.9565899999999995E-4</v>
      </c>
      <c r="F55">
        <v>1.7362753209999999</v>
      </c>
      <c r="G55">
        <v>7.0181400000000004E-4</v>
      </c>
      <c r="H55">
        <v>-4.0384228000000001E-2</v>
      </c>
      <c r="I55" s="5" t="s">
        <v>46</v>
      </c>
      <c r="J55">
        <v>50.433476059999997</v>
      </c>
      <c r="K55">
        <v>52.369716920000002</v>
      </c>
      <c r="L55">
        <v>52.551692580000001</v>
      </c>
      <c r="M55">
        <v>53.338908259999997</v>
      </c>
      <c r="N55">
        <v>1.777237341</v>
      </c>
      <c r="O55">
        <v>1.775471121</v>
      </c>
      <c r="P55">
        <v>1.777004373</v>
      </c>
      <c r="Q55">
        <v>1.7769253620000001</v>
      </c>
      <c r="R55">
        <v>1.736860077</v>
      </c>
      <c r="S55">
        <v>1.7350759360000001</v>
      </c>
      <c r="T55">
        <v>1.736602929</v>
      </c>
      <c r="U55">
        <v>1.7365623429999999</v>
      </c>
      <c r="V55">
        <v>-4.0377264000000003E-2</v>
      </c>
      <c r="W55">
        <v>-4.0395185E-2</v>
      </c>
      <c r="X55">
        <v>-4.0401444000000002E-2</v>
      </c>
      <c r="Y55">
        <v>-4.0363019E-2</v>
      </c>
      <c r="Z55">
        <v>14</v>
      </c>
      <c r="AA55">
        <v>36</v>
      </c>
      <c r="AB55">
        <v>26</v>
      </c>
      <c r="AC55">
        <v>6</v>
      </c>
      <c r="AD55">
        <v>113</v>
      </c>
      <c r="AE55">
        <v>55</v>
      </c>
      <c r="AF55">
        <v>0.84</v>
      </c>
      <c r="AG55">
        <v>1.44</v>
      </c>
      <c r="AH55">
        <v>0.37180000000000002</v>
      </c>
      <c r="AI55">
        <v>4.5912000000000001E-2</v>
      </c>
      <c r="AJ55">
        <v>9.8988000000000007E-2</v>
      </c>
      <c r="AK55">
        <v>2.7967</v>
      </c>
    </row>
    <row r="56" spans="1:37">
      <c r="A56" t="s">
        <v>20</v>
      </c>
      <c r="B56">
        <v>20.930845390000002</v>
      </c>
      <c r="C56">
        <v>0.95947898799999998</v>
      </c>
      <c r="D56">
        <v>1.890365925</v>
      </c>
      <c r="E56">
        <v>1.5311560000000001E-3</v>
      </c>
      <c r="F56">
        <v>1.8188689840000001</v>
      </c>
      <c r="G56">
        <v>1.2091719999999999E-3</v>
      </c>
      <c r="H56">
        <v>-7.1496940999999994E-2</v>
      </c>
      <c r="I56">
        <v>1.3272819999999999E-3</v>
      </c>
      <c r="J56">
        <v>22.336473900000001</v>
      </c>
      <c r="K56">
        <v>20.21433781</v>
      </c>
      <c r="L56">
        <v>19.89498858</v>
      </c>
      <c r="M56">
        <v>21.277581260000002</v>
      </c>
      <c r="N56">
        <v>1.889320219</v>
      </c>
      <c r="O56">
        <v>1.8926403919999999</v>
      </c>
      <c r="P56">
        <v>1.890836929</v>
      </c>
      <c r="Q56">
        <v>1.888666159</v>
      </c>
      <c r="R56">
        <v>1.8199550360000001</v>
      </c>
      <c r="S56">
        <v>1.8196216119999999</v>
      </c>
      <c r="T56">
        <v>1.8190478370000001</v>
      </c>
      <c r="U56">
        <v>1.816851451</v>
      </c>
      <c r="V56">
        <v>-6.9365182999999997E-2</v>
      </c>
      <c r="W56">
        <v>-7.3018780000000005E-2</v>
      </c>
      <c r="X56">
        <v>-7.1789091999999999E-2</v>
      </c>
      <c r="Y56">
        <v>-7.1814708000000005E-2</v>
      </c>
      <c r="Z56">
        <v>8</v>
      </c>
      <c r="AA56">
        <v>5</v>
      </c>
      <c r="AB56">
        <v>9</v>
      </c>
      <c r="AC56">
        <v>74</v>
      </c>
      <c r="AD56">
        <v>96</v>
      </c>
      <c r="AE56">
        <v>58</v>
      </c>
      <c r="AF56">
        <v>0.48</v>
      </c>
      <c r="AG56">
        <v>0.2</v>
      </c>
      <c r="AH56">
        <v>0.12870000000000001</v>
      </c>
      <c r="AI56">
        <v>0.56624799999999997</v>
      </c>
      <c r="AJ56">
        <v>8.4096000000000004E-2</v>
      </c>
      <c r="AK56">
        <v>1.459044</v>
      </c>
    </row>
    <row r="57" spans="1:37">
      <c r="A57" t="s">
        <v>20</v>
      </c>
      <c r="B57">
        <v>15.92489059</v>
      </c>
      <c r="C57">
        <v>0.88173483900000005</v>
      </c>
      <c r="D57">
        <v>1.909505341</v>
      </c>
      <c r="E57">
        <v>3.6884489999999999E-3</v>
      </c>
      <c r="F57">
        <v>1.8307475129999999</v>
      </c>
      <c r="G57">
        <v>2.6328900000000001E-3</v>
      </c>
      <c r="H57">
        <v>-7.8757827000000002E-2</v>
      </c>
      <c r="I57">
        <v>1.3363699999999999E-3</v>
      </c>
      <c r="J57">
        <v>14.581287290000001</v>
      </c>
      <c r="K57">
        <v>15.6981652</v>
      </c>
      <c r="L57">
        <v>16.60959356</v>
      </c>
      <c r="M57">
        <v>16.810516310000001</v>
      </c>
      <c r="N57">
        <v>1.9154505390000001</v>
      </c>
      <c r="O57">
        <v>1.9091856920000001</v>
      </c>
      <c r="P57">
        <v>1.90794709</v>
      </c>
      <c r="Q57">
        <v>1.905438041</v>
      </c>
      <c r="R57">
        <v>1.8352205859999999</v>
      </c>
      <c r="S57">
        <v>1.8300931629999999</v>
      </c>
      <c r="T57">
        <v>1.828821448</v>
      </c>
      <c r="U57">
        <v>1.828854856</v>
      </c>
      <c r="V57">
        <v>-8.0229953000000007E-2</v>
      </c>
      <c r="W57">
        <v>-7.9092528999999995E-2</v>
      </c>
      <c r="X57">
        <v>-7.9125641999999996E-2</v>
      </c>
      <c r="Y57">
        <v>-7.6583184999999998E-2</v>
      </c>
      <c r="Z57">
        <v>6</v>
      </c>
      <c r="AA57">
        <v>5</v>
      </c>
      <c r="AB57">
        <v>12</v>
      </c>
      <c r="AC57">
        <v>56</v>
      </c>
      <c r="AD57">
        <v>108</v>
      </c>
      <c r="AE57">
        <v>63</v>
      </c>
      <c r="AF57">
        <v>0.36</v>
      </c>
      <c r="AG57">
        <v>0.2</v>
      </c>
      <c r="AH57">
        <v>0.1716</v>
      </c>
      <c r="AI57">
        <v>0.428512</v>
      </c>
      <c r="AJ57">
        <v>9.4607999999999998E-2</v>
      </c>
      <c r="AK57">
        <v>1.2547200000000001</v>
      </c>
    </row>
    <row r="58" spans="1:37">
      <c r="A58" t="s">
        <v>20</v>
      </c>
      <c r="B58">
        <v>26.018905780000001</v>
      </c>
      <c r="C58">
        <v>1.3581161770000001</v>
      </c>
      <c r="D58">
        <v>2.1532232100000002</v>
      </c>
      <c r="E58">
        <v>1.053658E-2</v>
      </c>
      <c r="F58">
        <v>2.1255484660000001</v>
      </c>
      <c r="G58">
        <v>7.5911989999999999E-3</v>
      </c>
      <c r="H58">
        <v>-2.7674744000000001E-2</v>
      </c>
      <c r="I58">
        <v>5.541926E-3</v>
      </c>
      <c r="J58">
        <v>27.472655870000001</v>
      </c>
      <c r="K58">
        <v>23.857585440000001</v>
      </c>
      <c r="L58">
        <v>26.786753359999999</v>
      </c>
      <c r="M58">
        <v>25.95862846</v>
      </c>
      <c r="N58">
        <v>2.1690701200000002</v>
      </c>
      <c r="O58">
        <v>2.13943599</v>
      </c>
      <c r="P58">
        <v>2.151583064</v>
      </c>
      <c r="Q58">
        <v>2.1528036639999999</v>
      </c>
      <c r="R58">
        <v>2.138613914</v>
      </c>
      <c r="S58">
        <v>2.1213234019999998</v>
      </c>
      <c r="T58">
        <v>2.1199299620000001</v>
      </c>
      <c r="U58">
        <v>2.1223265840000001</v>
      </c>
      <c r="V58">
        <v>-3.0456206E-2</v>
      </c>
      <c r="W58">
        <v>-1.8112587999999999E-2</v>
      </c>
      <c r="X58">
        <v>-3.1653102000000002E-2</v>
      </c>
      <c r="Y58">
        <v>-3.047708E-2</v>
      </c>
      <c r="Z58">
        <v>18</v>
      </c>
      <c r="AA58">
        <v>0</v>
      </c>
      <c r="AB58">
        <v>136</v>
      </c>
      <c r="AC58">
        <v>52</v>
      </c>
      <c r="AD58">
        <v>8</v>
      </c>
      <c r="AE58">
        <v>36</v>
      </c>
      <c r="AF58">
        <v>1.08</v>
      </c>
      <c r="AG58">
        <v>0</v>
      </c>
      <c r="AH58">
        <v>1.9448000000000001</v>
      </c>
      <c r="AI58">
        <v>0.39790399999999998</v>
      </c>
      <c r="AJ58">
        <v>7.0080000000000003E-3</v>
      </c>
      <c r="AK58">
        <v>3.4297119999999999</v>
      </c>
    </row>
    <row r="59" spans="1:37">
      <c r="A59" t="s">
        <v>20</v>
      </c>
      <c r="B59">
        <v>50.860342529999997</v>
      </c>
      <c r="C59">
        <v>2.4452391449999999</v>
      </c>
      <c r="D59">
        <v>1.821633842</v>
      </c>
      <c r="E59">
        <v>4.4526610000000001E-3</v>
      </c>
      <c r="F59">
        <v>1.78808459</v>
      </c>
      <c r="G59">
        <v>3.512172E-3</v>
      </c>
      <c r="H59">
        <v>-3.3549252000000002E-2</v>
      </c>
      <c r="I59">
        <v>1.8496000000000001E-3</v>
      </c>
      <c r="J59">
        <v>52.45475828</v>
      </c>
      <c r="K59">
        <v>53.608242650000001</v>
      </c>
      <c r="L59">
        <v>50.1717175</v>
      </c>
      <c r="M59">
        <v>47.20665168</v>
      </c>
      <c r="N59">
        <v>1.8139818059999999</v>
      </c>
      <c r="O59">
        <v>1.8241205789999999</v>
      </c>
      <c r="P59">
        <v>1.824999783</v>
      </c>
      <c r="Q59">
        <v>1.8234332019999999</v>
      </c>
      <c r="R59">
        <v>1.7823016199999999</v>
      </c>
      <c r="S59">
        <v>1.7887100490000001</v>
      </c>
      <c r="T59">
        <v>1.789612749</v>
      </c>
      <c r="U59">
        <v>1.791713943</v>
      </c>
      <c r="V59">
        <v>-3.1680185999999999E-2</v>
      </c>
      <c r="W59">
        <v>-3.5410530000000003E-2</v>
      </c>
      <c r="X59">
        <v>-3.5387033999999998E-2</v>
      </c>
      <c r="Y59">
        <v>-3.1719259E-2</v>
      </c>
      <c r="Z59">
        <v>29</v>
      </c>
      <c r="AA59">
        <v>19</v>
      </c>
      <c r="AB59">
        <v>42</v>
      </c>
      <c r="AC59">
        <v>24</v>
      </c>
      <c r="AD59">
        <v>48</v>
      </c>
      <c r="AE59">
        <v>88</v>
      </c>
      <c r="AF59">
        <v>1.74</v>
      </c>
      <c r="AG59">
        <v>0.76</v>
      </c>
      <c r="AH59">
        <v>0.60060000000000002</v>
      </c>
      <c r="AI59">
        <v>0.18364800000000001</v>
      </c>
      <c r="AJ59">
        <v>4.2048000000000002E-2</v>
      </c>
      <c r="AK59">
        <v>3.3262960000000001</v>
      </c>
    </row>
    <row r="60" spans="1:37">
      <c r="A60" t="s">
        <v>20</v>
      </c>
      <c r="B60">
        <v>51.544321119999999</v>
      </c>
      <c r="C60">
        <v>1.0714896199999999</v>
      </c>
      <c r="D60">
        <v>1.784347822</v>
      </c>
      <c r="E60">
        <v>1.433444E-2</v>
      </c>
      <c r="F60">
        <v>1.774376857</v>
      </c>
      <c r="G60">
        <v>2.2489110000000001E-3</v>
      </c>
      <c r="H60">
        <v>-9.970965E-3</v>
      </c>
      <c r="I60">
        <v>1.2183902E-2</v>
      </c>
      <c r="J60">
        <v>53.285531429999999</v>
      </c>
      <c r="K60">
        <v>50.587805510000003</v>
      </c>
      <c r="L60">
        <v>51.562918840000002</v>
      </c>
      <c r="M60">
        <v>50.741028710000002</v>
      </c>
      <c r="N60">
        <v>1.7595518530000001</v>
      </c>
      <c r="O60">
        <v>1.7916301539999999</v>
      </c>
      <c r="P60">
        <v>1.7925264750000001</v>
      </c>
      <c r="Q60">
        <v>1.7936828060000001</v>
      </c>
      <c r="R60">
        <v>1.770683996</v>
      </c>
      <c r="S60">
        <v>1.7746269509999999</v>
      </c>
      <c r="T60">
        <v>1.7755485520000001</v>
      </c>
      <c r="U60">
        <v>1.77664793</v>
      </c>
      <c r="V60">
        <v>1.1132143000000001E-2</v>
      </c>
      <c r="W60">
        <v>-1.7003203000000001E-2</v>
      </c>
      <c r="X60">
        <v>-1.6977922999999999E-2</v>
      </c>
      <c r="Y60">
        <v>-1.7034876000000001E-2</v>
      </c>
      <c r="Z60">
        <v>134</v>
      </c>
      <c r="AA60">
        <v>24</v>
      </c>
      <c r="AB60">
        <v>16</v>
      </c>
      <c r="AC60">
        <v>22</v>
      </c>
      <c r="AD60">
        <v>16</v>
      </c>
      <c r="AE60">
        <v>38</v>
      </c>
      <c r="AF60">
        <v>8.0399999999999991</v>
      </c>
      <c r="AG60">
        <v>0.96</v>
      </c>
      <c r="AH60">
        <v>0.2288</v>
      </c>
      <c r="AI60">
        <v>0.16834399999999999</v>
      </c>
      <c r="AJ60">
        <v>1.4016000000000001E-2</v>
      </c>
      <c r="AK60">
        <v>9.4111600000000006</v>
      </c>
    </row>
    <row r="61" spans="1:37">
      <c r="A61" t="s">
        <v>20</v>
      </c>
      <c r="B61">
        <v>50.80944556</v>
      </c>
      <c r="C61">
        <v>2.8718616190000001</v>
      </c>
      <c r="D61">
        <v>1.7857980849999999</v>
      </c>
      <c r="E61">
        <v>1.8848482E-2</v>
      </c>
      <c r="F61">
        <v>1.7580703580000001</v>
      </c>
      <c r="G61">
        <v>1.8562293000000001E-2</v>
      </c>
      <c r="H61">
        <v>-2.7727726000000001E-2</v>
      </c>
      <c r="I61">
        <v>1.8240400000000001E-3</v>
      </c>
      <c r="J61">
        <v>50.125989400000002</v>
      </c>
      <c r="K61">
        <v>55.21127465</v>
      </c>
      <c r="L61">
        <v>50.715761329999999</v>
      </c>
      <c r="M61">
        <v>47.184756849999999</v>
      </c>
      <c r="N61">
        <v>1.803782255</v>
      </c>
      <c r="O61">
        <v>1.768366119</v>
      </c>
      <c r="P61">
        <v>1.7656020830000001</v>
      </c>
      <c r="Q61">
        <v>1.8054418809999999</v>
      </c>
      <c r="R61">
        <v>1.778233628</v>
      </c>
      <c r="S61">
        <v>1.7403444729999999</v>
      </c>
      <c r="T61">
        <v>1.738761614</v>
      </c>
      <c r="U61">
        <v>1.774941718</v>
      </c>
      <c r="V61">
        <v>-2.5548627000000001E-2</v>
      </c>
      <c r="W61">
        <v>-2.8021646000000001E-2</v>
      </c>
      <c r="X61">
        <v>-2.6840468999999999E-2</v>
      </c>
      <c r="Y61">
        <v>-3.0500163E-2</v>
      </c>
      <c r="Z61">
        <v>30</v>
      </c>
      <c r="AA61">
        <v>28</v>
      </c>
      <c r="AB61">
        <v>30</v>
      </c>
      <c r="AC61">
        <v>6</v>
      </c>
      <c r="AD61">
        <v>144</v>
      </c>
      <c r="AE61">
        <v>12</v>
      </c>
      <c r="AF61">
        <v>1.8</v>
      </c>
      <c r="AG61">
        <v>1.1200000000000001</v>
      </c>
      <c r="AH61">
        <v>0.42899999999999999</v>
      </c>
      <c r="AI61">
        <v>4.5912000000000001E-2</v>
      </c>
      <c r="AJ61">
        <v>0.12614400000000001</v>
      </c>
      <c r="AK61">
        <v>3.5210560000000002</v>
      </c>
    </row>
    <row r="62" spans="1:37">
      <c r="A62" t="s">
        <v>20</v>
      </c>
      <c r="B62">
        <v>36.447490440000003</v>
      </c>
      <c r="C62">
        <v>1.249184574</v>
      </c>
      <c r="D62">
        <v>1.8335230689999999</v>
      </c>
      <c r="E62">
        <v>4.9010379999999999E-3</v>
      </c>
      <c r="F62">
        <v>1.799337747</v>
      </c>
      <c r="G62">
        <v>4.885113E-3</v>
      </c>
      <c r="H62">
        <v>-3.4185321999999997E-2</v>
      </c>
      <c r="I62" s="5" t="s">
        <v>47</v>
      </c>
      <c r="J62">
        <v>38.486427890000002</v>
      </c>
      <c r="K62">
        <v>36.448997589999998</v>
      </c>
      <c r="L62">
        <v>35.38936606</v>
      </c>
      <c r="M62">
        <v>35.465170229999998</v>
      </c>
      <c r="N62">
        <v>1.8256477280000001</v>
      </c>
      <c r="O62">
        <v>1.8348167179999999</v>
      </c>
      <c r="P62">
        <v>1.834498009</v>
      </c>
      <c r="Q62">
        <v>1.839129821</v>
      </c>
      <c r="R62">
        <v>1.7914839920000001</v>
      </c>
      <c r="S62">
        <v>1.80061688</v>
      </c>
      <c r="T62">
        <v>1.800330843</v>
      </c>
      <c r="U62">
        <v>1.804919272</v>
      </c>
      <c r="V62">
        <v>-3.4163736E-2</v>
      </c>
      <c r="W62">
        <v>-3.4199838000000003E-2</v>
      </c>
      <c r="X62">
        <v>-3.4167165999999999E-2</v>
      </c>
      <c r="Y62">
        <v>-3.4210549E-2</v>
      </c>
      <c r="Z62">
        <v>11</v>
      </c>
      <c r="AA62">
        <v>15</v>
      </c>
      <c r="AB62">
        <v>68</v>
      </c>
      <c r="AC62">
        <v>51</v>
      </c>
      <c r="AD62">
        <v>8</v>
      </c>
      <c r="AE62">
        <v>97</v>
      </c>
      <c r="AF62">
        <v>0.66</v>
      </c>
      <c r="AG62">
        <v>0.6</v>
      </c>
      <c r="AH62">
        <v>0.97240000000000004</v>
      </c>
      <c r="AI62">
        <v>0.39025199999999999</v>
      </c>
      <c r="AJ62">
        <v>7.0080000000000003E-3</v>
      </c>
      <c r="AK62">
        <v>2.6296599999999999</v>
      </c>
    </row>
    <row r="63" spans="1:37">
      <c r="A63" t="s">
        <v>20</v>
      </c>
      <c r="B63">
        <v>33.766061780000001</v>
      </c>
      <c r="C63">
        <v>0.26998510199999998</v>
      </c>
      <c r="D63">
        <v>1.8827407030000001</v>
      </c>
      <c r="E63">
        <v>1.7019520000000001E-3</v>
      </c>
      <c r="F63">
        <v>1.8162614459999999</v>
      </c>
      <c r="G63">
        <v>2.2598219999999999E-3</v>
      </c>
      <c r="H63">
        <v>-6.6479257E-2</v>
      </c>
      <c r="I63">
        <v>3.0562179999999999E-3</v>
      </c>
      <c r="J63">
        <v>34.207457560000002</v>
      </c>
      <c r="K63">
        <v>33.730676930000001</v>
      </c>
      <c r="L63">
        <v>33.643874179999997</v>
      </c>
      <c r="M63">
        <v>33.482238440000003</v>
      </c>
      <c r="N63">
        <v>1.8823731459999999</v>
      </c>
      <c r="O63">
        <v>1.880928954</v>
      </c>
      <c r="P63">
        <v>1.882128249</v>
      </c>
      <c r="Q63">
        <v>1.8855324630000001</v>
      </c>
      <c r="R63">
        <v>1.820170506</v>
      </c>
      <c r="S63">
        <v>1.815058297</v>
      </c>
      <c r="T63">
        <v>1.815046132</v>
      </c>
      <c r="U63">
        <v>1.814770848</v>
      </c>
      <c r="V63">
        <v>-6.2202639999999997E-2</v>
      </c>
      <c r="W63">
        <v>-6.5870656999999999E-2</v>
      </c>
      <c r="X63">
        <v>-6.7082116999999997E-2</v>
      </c>
      <c r="Y63">
        <v>-7.0761615E-2</v>
      </c>
      <c r="Z63">
        <v>13</v>
      </c>
      <c r="AA63">
        <v>7</v>
      </c>
      <c r="AB63">
        <v>24</v>
      </c>
      <c r="AC63">
        <v>17</v>
      </c>
      <c r="AD63">
        <v>131</v>
      </c>
      <c r="AE63">
        <v>58</v>
      </c>
      <c r="AF63">
        <v>0.78</v>
      </c>
      <c r="AG63">
        <v>0.28000000000000003</v>
      </c>
      <c r="AH63">
        <v>0.34320000000000001</v>
      </c>
      <c r="AI63">
        <v>0.13008400000000001</v>
      </c>
      <c r="AJ63">
        <v>0.114756</v>
      </c>
      <c r="AK63">
        <v>1.6480399999999999</v>
      </c>
    </row>
    <row r="64" spans="1:37">
      <c r="A64" t="s">
        <v>20</v>
      </c>
      <c r="B64">
        <v>49.774680879999998</v>
      </c>
      <c r="C64">
        <v>0.53520704200000002</v>
      </c>
      <c r="D64">
        <v>1.7501048320000001</v>
      </c>
      <c r="E64">
        <v>1.4622330000000001E-3</v>
      </c>
      <c r="F64">
        <v>1.7269964609999999</v>
      </c>
      <c r="G64">
        <v>2.2447360000000002E-3</v>
      </c>
      <c r="H64">
        <v>-2.3108370999999999E-2</v>
      </c>
      <c r="I64">
        <v>8.7339999999999998E-4</v>
      </c>
      <c r="J64">
        <v>49.533729970000003</v>
      </c>
      <c r="K64">
        <v>50.106541489999998</v>
      </c>
      <c r="L64">
        <v>50.426888269999999</v>
      </c>
      <c r="M64">
        <v>49.031563779999999</v>
      </c>
      <c r="N64">
        <v>1.752595707</v>
      </c>
      <c r="O64">
        <v>1.74969219</v>
      </c>
      <c r="P64">
        <v>1.7489702110000001</v>
      </c>
      <c r="Q64">
        <v>1.749161218</v>
      </c>
      <c r="R64">
        <v>1.7307193139999999</v>
      </c>
      <c r="S64">
        <v>1.726646428</v>
      </c>
      <c r="T64">
        <v>1.7258026150000001</v>
      </c>
      <c r="U64">
        <v>1.7248174869999999</v>
      </c>
      <c r="V64">
        <v>-2.1876393000000001E-2</v>
      </c>
      <c r="W64">
        <v>-2.3045762000000001E-2</v>
      </c>
      <c r="X64">
        <v>-2.3167595999999999E-2</v>
      </c>
      <c r="Y64">
        <v>-2.4343731E-2</v>
      </c>
      <c r="Z64">
        <v>84</v>
      </c>
      <c r="AA64">
        <v>65</v>
      </c>
      <c r="AB64">
        <v>10</v>
      </c>
      <c r="AC64">
        <v>6</v>
      </c>
      <c r="AD64">
        <v>76</v>
      </c>
      <c r="AE64">
        <v>9</v>
      </c>
      <c r="AF64">
        <v>5.04</v>
      </c>
      <c r="AG64">
        <v>2.6</v>
      </c>
      <c r="AH64">
        <v>0.14299999999999999</v>
      </c>
      <c r="AI64">
        <v>4.5912000000000001E-2</v>
      </c>
      <c r="AJ64">
        <v>6.6575999999999996E-2</v>
      </c>
      <c r="AK64">
        <v>7.8954880000000003</v>
      </c>
    </row>
    <row r="65" spans="1:37">
      <c r="A65" t="s">
        <v>20</v>
      </c>
      <c r="B65">
        <v>50.959271309999998</v>
      </c>
      <c r="C65">
        <v>0.25752013499999998</v>
      </c>
      <c r="D65">
        <v>1.846896195</v>
      </c>
      <c r="E65">
        <v>4.9303649999999999E-3</v>
      </c>
      <c r="F65">
        <v>1.8064881100000001</v>
      </c>
      <c r="G65">
        <v>4.9231500000000003E-3</v>
      </c>
      <c r="H65">
        <v>-4.0408083999999997E-2</v>
      </c>
      <c r="I65" s="5" t="s">
        <v>48</v>
      </c>
      <c r="J65">
        <v>51.276335279999998</v>
      </c>
      <c r="K65">
        <v>50.744990520000002</v>
      </c>
      <c r="L65">
        <v>50.669616769999998</v>
      </c>
      <c r="M65">
        <v>51.146142679999997</v>
      </c>
      <c r="N65">
        <v>1.838367163</v>
      </c>
      <c r="O65">
        <v>1.8493382700000001</v>
      </c>
      <c r="P65">
        <v>1.8499262620000001</v>
      </c>
      <c r="Q65">
        <v>1.8499530829999999</v>
      </c>
      <c r="R65">
        <v>1.797970767</v>
      </c>
      <c r="S65">
        <v>1.8089419200000001</v>
      </c>
      <c r="T65">
        <v>1.809513889</v>
      </c>
      <c r="U65">
        <v>1.8095258649999999</v>
      </c>
      <c r="V65">
        <v>-4.0396396000000001E-2</v>
      </c>
      <c r="W65">
        <v>-4.0396349999999998E-2</v>
      </c>
      <c r="X65">
        <v>-4.0412373000000001E-2</v>
      </c>
      <c r="Y65">
        <v>-4.0427218000000001E-2</v>
      </c>
      <c r="Z65">
        <v>27</v>
      </c>
      <c r="AA65">
        <v>19</v>
      </c>
      <c r="AB65">
        <v>0</v>
      </c>
      <c r="AC65">
        <v>12</v>
      </c>
      <c r="AD65">
        <v>128</v>
      </c>
      <c r="AE65">
        <v>64</v>
      </c>
      <c r="AF65">
        <v>1.62</v>
      </c>
      <c r="AG65">
        <v>0.76</v>
      </c>
      <c r="AH65">
        <v>0</v>
      </c>
      <c r="AI65">
        <v>9.1824000000000003E-2</v>
      </c>
      <c r="AJ65">
        <v>0.11212800000000001</v>
      </c>
      <c r="AK65">
        <v>2.583952</v>
      </c>
    </row>
    <row r="66" spans="1:37">
      <c r="A66" t="s">
        <v>20</v>
      </c>
      <c r="B66">
        <v>55.760327889999999</v>
      </c>
      <c r="C66">
        <v>3.3699228300000001</v>
      </c>
      <c r="D66">
        <v>1.8376360899999999</v>
      </c>
      <c r="E66">
        <v>3.712098E-3</v>
      </c>
      <c r="F66">
        <v>1.8019296570000001</v>
      </c>
      <c r="G66">
        <v>1.9969570000000002E-3</v>
      </c>
      <c r="H66">
        <v>-3.5706433000000003E-2</v>
      </c>
      <c r="I66">
        <v>2.2008129999999998E-3</v>
      </c>
      <c r="J66">
        <v>50.047610830000004</v>
      </c>
      <c r="K66">
        <v>57.890345459999999</v>
      </c>
      <c r="L66">
        <v>58.509680930000002</v>
      </c>
      <c r="M66">
        <v>56.593674360000001</v>
      </c>
      <c r="N66">
        <v>1.832734708</v>
      </c>
      <c r="O66">
        <v>1.8355953679999999</v>
      </c>
      <c r="P66">
        <v>1.83991672</v>
      </c>
      <c r="Q66">
        <v>1.8422975619999999</v>
      </c>
      <c r="R66">
        <v>1.799831494</v>
      </c>
      <c r="S66">
        <v>1.80014706</v>
      </c>
      <c r="T66">
        <v>1.8045186010000001</v>
      </c>
      <c r="U66">
        <v>1.8032214710000001</v>
      </c>
      <c r="V66">
        <v>-3.2903214E-2</v>
      </c>
      <c r="W66">
        <v>-3.5448307999999998E-2</v>
      </c>
      <c r="X66">
        <v>-3.5398118999999999E-2</v>
      </c>
      <c r="Y66">
        <v>-3.9076091E-2</v>
      </c>
      <c r="Z66">
        <v>39</v>
      </c>
      <c r="AA66">
        <v>11</v>
      </c>
      <c r="AB66">
        <v>5</v>
      </c>
      <c r="AC66">
        <v>0</v>
      </c>
      <c r="AD66">
        <v>186</v>
      </c>
      <c r="AE66">
        <v>9</v>
      </c>
      <c r="AF66">
        <v>2.34</v>
      </c>
      <c r="AG66">
        <v>0.44</v>
      </c>
      <c r="AH66">
        <v>7.1499999999999994E-2</v>
      </c>
      <c r="AI66">
        <v>0</v>
      </c>
      <c r="AJ66">
        <v>0.162936</v>
      </c>
      <c r="AK66">
        <v>3.0144359999999999</v>
      </c>
    </row>
    <row r="67" spans="1:37">
      <c r="A67" t="s">
        <v>20</v>
      </c>
      <c r="B67">
        <v>42.192226079999998</v>
      </c>
      <c r="C67">
        <v>0.62490729099999998</v>
      </c>
      <c r="D67">
        <v>1.8452239500000001</v>
      </c>
      <c r="E67">
        <v>6.0953559999999997E-3</v>
      </c>
      <c r="F67">
        <v>1.8096827609999999</v>
      </c>
      <c r="G67">
        <v>1.0307652E-2</v>
      </c>
      <c r="H67">
        <v>-3.5541188000000001E-2</v>
      </c>
      <c r="I67">
        <v>4.4635650000000001E-3</v>
      </c>
      <c r="J67">
        <v>41.311922809999999</v>
      </c>
      <c r="K67">
        <v>42.564825489999997</v>
      </c>
      <c r="L67">
        <v>42.699929930000003</v>
      </c>
      <c r="M67">
        <v>18.36734289</v>
      </c>
      <c r="N67">
        <v>1.853299874</v>
      </c>
      <c r="O67">
        <v>1.8385755029999999</v>
      </c>
      <c r="P67">
        <v>1.843796472</v>
      </c>
      <c r="Q67">
        <v>1.050022869</v>
      </c>
      <c r="R67">
        <v>1.8240481369999999</v>
      </c>
      <c r="S67">
        <v>1.8003556549999999</v>
      </c>
      <c r="T67">
        <v>1.804644492</v>
      </c>
      <c r="U67">
        <v>1.034279312</v>
      </c>
      <c r="V67">
        <v>-2.9251737E-2</v>
      </c>
      <c r="W67">
        <v>-3.8219848000000001E-2</v>
      </c>
      <c r="X67">
        <v>-3.9151980000000003E-2</v>
      </c>
      <c r="Y67">
        <v>-1.5743556999999998E-2</v>
      </c>
      <c r="Z67">
        <v>112</v>
      </c>
      <c r="AA67">
        <v>9</v>
      </c>
      <c r="AB67">
        <v>34</v>
      </c>
      <c r="AC67">
        <v>28</v>
      </c>
      <c r="AD67">
        <v>66</v>
      </c>
      <c r="AE67">
        <v>1</v>
      </c>
      <c r="AF67">
        <v>6.72</v>
      </c>
      <c r="AG67">
        <v>0.36</v>
      </c>
      <c r="AH67">
        <v>0.48620000000000002</v>
      </c>
      <c r="AI67">
        <v>0.214256</v>
      </c>
      <c r="AJ67">
        <v>5.7815999999999999E-2</v>
      </c>
      <c r="AK67">
        <v>7.8382719999999999</v>
      </c>
    </row>
    <row r="68" spans="1:37">
      <c r="A68" t="s">
        <v>20</v>
      </c>
      <c r="B68">
        <v>53.48314895</v>
      </c>
      <c r="C68">
        <v>0.19618161000000001</v>
      </c>
      <c r="D68">
        <v>2.163175388</v>
      </c>
      <c r="E68">
        <v>6.5736630000000004E-3</v>
      </c>
      <c r="F68">
        <v>2.1227209870000001</v>
      </c>
      <c r="G68">
        <v>6.5720559999999997E-3</v>
      </c>
      <c r="H68">
        <v>-4.0454401000000001E-2</v>
      </c>
      <c r="I68" s="5" t="s">
        <v>49</v>
      </c>
      <c r="J68">
        <v>53.549883610000002</v>
      </c>
      <c r="K68">
        <v>53.528109909999998</v>
      </c>
      <c r="L68">
        <v>53.161560719999997</v>
      </c>
      <c r="M68">
        <v>53.693041549999997</v>
      </c>
      <c r="N68">
        <v>2.156876322</v>
      </c>
      <c r="O68">
        <v>2.1742035830000002</v>
      </c>
      <c r="P68">
        <v>2.1612412449999998</v>
      </c>
      <c r="Q68">
        <v>2.160380403</v>
      </c>
      <c r="R68">
        <v>2.1164451830000002</v>
      </c>
      <c r="S68">
        <v>2.1337532279999998</v>
      </c>
      <c r="T68">
        <v>2.1207669130000002</v>
      </c>
      <c r="U68">
        <v>2.1199186239999999</v>
      </c>
      <c r="V68">
        <v>-4.0431138999999998E-2</v>
      </c>
      <c r="W68">
        <v>-4.0450355E-2</v>
      </c>
      <c r="X68">
        <v>-4.0474332000000002E-2</v>
      </c>
      <c r="Y68">
        <v>-4.0461779000000003E-2</v>
      </c>
      <c r="Z68">
        <v>59</v>
      </c>
      <c r="AA68">
        <v>0</v>
      </c>
      <c r="AB68">
        <v>0</v>
      </c>
      <c r="AC68">
        <v>14</v>
      </c>
      <c r="AD68">
        <v>131</v>
      </c>
      <c r="AE68">
        <v>46</v>
      </c>
      <c r="AF68">
        <v>3.54</v>
      </c>
      <c r="AG68">
        <v>0</v>
      </c>
      <c r="AH68">
        <v>0</v>
      </c>
      <c r="AI68">
        <v>0.107128</v>
      </c>
      <c r="AJ68">
        <v>0.114756</v>
      </c>
      <c r="AK68">
        <v>3.7618839999999998</v>
      </c>
    </row>
    <row r="69" spans="1:37">
      <c r="A69" t="s">
        <v>20</v>
      </c>
      <c r="B69">
        <v>35.885680450000002</v>
      </c>
      <c r="C69">
        <v>7.0324127E-2</v>
      </c>
      <c r="D69">
        <v>2.1691222570000002</v>
      </c>
      <c r="E69">
        <v>1.6457139999999999E-3</v>
      </c>
      <c r="F69">
        <v>2.1290316200000001</v>
      </c>
      <c r="G69">
        <v>1.644043E-3</v>
      </c>
      <c r="H69">
        <v>-4.0090636999999998E-2</v>
      </c>
      <c r="I69">
        <v>5.45329E-4</v>
      </c>
      <c r="J69">
        <v>35.839115720000002</v>
      </c>
      <c r="K69">
        <v>35.796432269999997</v>
      </c>
      <c r="L69">
        <v>35.93899502</v>
      </c>
      <c r="M69">
        <v>35.968178790000003</v>
      </c>
      <c r="N69">
        <v>2.1710522559999998</v>
      </c>
      <c r="O69">
        <v>2.1667139849999999</v>
      </c>
      <c r="P69">
        <v>2.1685885869999999</v>
      </c>
      <c r="Q69">
        <v>2.1701342010000002</v>
      </c>
      <c r="R69">
        <v>2.1306516740000001</v>
      </c>
      <c r="S69">
        <v>2.1262905170000002</v>
      </c>
      <c r="T69">
        <v>2.1294422800000001</v>
      </c>
      <c r="U69">
        <v>2.1297420090000001</v>
      </c>
      <c r="V69">
        <v>-4.0400581999999997E-2</v>
      </c>
      <c r="W69">
        <v>-4.0423467999999997E-2</v>
      </c>
      <c r="X69">
        <v>-3.9146306999999998E-2</v>
      </c>
      <c r="Y69">
        <v>-4.0392192E-2</v>
      </c>
      <c r="Z69">
        <v>27</v>
      </c>
      <c r="AA69">
        <v>0</v>
      </c>
      <c r="AB69">
        <v>5</v>
      </c>
      <c r="AC69">
        <v>48</v>
      </c>
      <c r="AD69">
        <v>154</v>
      </c>
      <c r="AE69">
        <v>16</v>
      </c>
      <c r="AF69">
        <v>1.62</v>
      </c>
      <c r="AG69">
        <v>0</v>
      </c>
      <c r="AH69">
        <v>7.1499999999999994E-2</v>
      </c>
      <c r="AI69">
        <v>0.36729600000000001</v>
      </c>
      <c r="AJ69">
        <v>0.134904</v>
      </c>
      <c r="AK69">
        <v>2.1937000000000002</v>
      </c>
    </row>
    <row r="70" spans="1:37">
      <c r="A70" t="s">
        <v>20</v>
      </c>
      <c r="B70">
        <v>7.9280603200000002</v>
      </c>
      <c r="C70">
        <v>11.211970429999999</v>
      </c>
      <c r="D70">
        <v>2.582445173</v>
      </c>
      <c r="E70">
        <v>0.39317041899999999</v>
      </c>
      <c r="F70">
        <v>2.5683568000000001</v>
      </c>
      <c r="G70">
        <v>0.373338595</v>
      </c>
      <c r="H70">
        <v>-1.4088373E-2</v>
      </c>
      <c r="I70">
        <v>1.9923968E-2</v>
      </c>
      <c r="J70">
        <v>0</v>
      </c>
      <c r="K70">
        <v>0</v>
      </c>
      <c r="L70">
        <v>23.78418096</v>
      </c>
      <c r="M70">
        <v>28.485284530000001</v>
      </c>
      <c r="N70">
        <v>2.2605767879999998</v>
      </c>
      <c r="O70">
        <v>2.350728089</v>
      </c>
      <c r="P70">
        <v>3.1360306420000001</v>
      </c>
      <c r="Q70">
        <v>2.214559081</v>
      </c>
      <c r="R70">
        <v>2.2605767879999998</v>
      </c>
      <c r="S70">
        <v>2.350728089</v>
      </c>
      <c r="T70">
        <v>3.0937655240000002</v>
      </c>
      <c r="U70">
        <v>2.1737213679999998</v>
      </c>
      <c r="V70">
        <v>0</v>
      </c>
      <c r="W70">
        <v>0</v>
      </c>
      <c r="X70">
        <v>-4.2265117999999997E-2</v>
      </c>
      <c r="Y70">
        <v>-4.0837712999999998E-2</v>
      </c>
      <c r="Z70">
        <v>38</v>
      </c>
      <c r="AA70">
        <v>0</v>
      </c>
      <c r="AB70">
        <v>128</v>
      </c>
      <c r="AC70">
        <v>53</v>
      </c>
      <c r="AD70">
        <v>21</v>
      </c>
      <c r="AE70">
        <v>10</v>
      </c>
      <c r="AF70">
        <v>2.2799999999999998</v>
      </c>
      <c r="AG70">
        <v>0</v>
      </c>
      <c r="AH70">
        <v>1.8304</v>
      </c>
      <c r="AI70">
        <v>0.40555600000000003</v>
      </c>
      <c r="AJ70">
        <v>1.8395999999999999E-2</v>
      </c>
      <c r="AK70">
        <v>4.5343520000000002</v>
      </c>
    </row>
    <row r="71" spans="1:37">
      <c r="A71" t="s">
        <v>20</v>
      </c>
      <c r="B71">
        <v>36.80602743</v>
      </c>
      <c r="C71">
        <v>1.5476524650000001</v>
      </c>
      <c r="D71">
        <v>1.886518672</v>
      </c>
      <c r="E71">
        <v>6.8579970000000002E-3</v>
      </c>
      <c r="F71">
        <v>1.817386248</v>
      </c>
      <c r="G71">
        <v>3.2582760000000001E-3</v>
      </c>
      <c r="H71">
        <v>-6.9132424999999997E-2</v>
      </c>
      <c r="I71">
        <v>4.0503029999999999E-3</v>
      </c>
      <c r="J71">
        <v>20.78001677</v>
      </c>
      <c r="K71">
        <v>35.957772380000002</v>
      </c>
      <c r="L71">
        <v>35.482817050000001</v>
      </c>
      <c r="M71">
        <v>38.977492859999998</v>
      </c>
      <c r="N71">
        <v>1.8887720859999999</v>
      </c>
      <c r="O71">
        <v>1.8939598989999999</v>
      </c>
      <c r="P71">
        <v>1.8881850140000001</v>
      </c>
      <c r="Q71">
        <v>1.8774111040000001</v>
      </c>
      <c r="R71">
        <v>1.828174162</v>
      </c>
      <c r="S71">
        <v>1.819510814</v>
      </c>
      <c r="T71">
        <v>1.819865039</v>
      </c>
      <c r="U71">
        <v>1.81278289</v>
      </c>
      <c r="V71">
        <v>-6.0597923999999997E-2</v>
      </c>
      <c r="W71">
        <v>-7.4449084999999998E-2</v>
      </c>
      <c r="X71">
        <v>-6.8319975000000005E-2</v>
      </c>
      <c r="Y71">
        <v>-6.4628214000000003E-2</v>
      </c>
      <c r="Z71">
        <v>7</v>
      </c>
      <c r="AA71">
        <v>13</v>
      </c>
      <c r="AB71">
        <v>37</v>
      </c>
      <c r="AC71">
        <v>18</v>
      </c>
      <c r="AD71">
        <v>111</v>
      </c>
      <c r="AE71">
        <v>64</v>
      </c>
      <c r="AF71">
        <v>0.42</v>
      </c>
      <c r="AG71">
        <v>0.52</v>
      </c>
      <c r="AH71">
        <v>0.52910000000000001</v>
      </c>
      <c r="AI71">
        <v>0.137736</v>
      </c>
      <c r="AJ71">
        <v>9.7236000000000003E-2</v>
      </c>
      <c r="AK71">
        <v>1.704072</v>
      </c>
    </row>
    <row r="72" spans="1:37">
      <c r="A72" t="s">
        <v>20</v>
      </c>
      <c r="B72">
        <v>40.543541169999997</v>
      </c>
      <c r="C72">
        <v>1.996136983</v>
      </c>
      <c r="D72">
        <v>1.8798846579999999</v>
      </c>
      <c r="E72">
        <v>9.3071290000000008E-3</v>
      </c>
      <c r="F72">
        <v>1.809404561</v>
      </c>
      <c r="G72">
        <v>9.7791299999999996E-4</v>
      </c>
      <c r="H72">
        <v>-7.0480097000000005E-2</v>
      </c>
      <c r="I72">
        <v>8.5584149999999998E-3</v>
      </c>
      <c r="J72">
        <v>43.148053599999997</v>
      </c>
      <c r="K72">
        <v>38.557567419999998</v>
      </c>
      <c r="L72">
        <v>41.818471879999997</v>
      </c>
      <c r="M72">
        <v>38.650071769999997</v>
      </c>
      <c r="N72">
        <v>1.8725183560000001</v>
      </c>
      <c r="O72">
        <v>1.894850213</v>
      </c>
      <c r="P72">
        <v>1.880522713</v>
      </c>
      <c r="Q72">
        <v>1.871647348</v>
      </c>
      <c r="R72">
        <v>1.807871775</v>
      </c>
      <c r="S72">
        <v>1.810576889</v>
      </c>
      <c r="T72">
        <v>1.809719895</v>
      </c>
      <c r="U72">
        <v>1.8094496849999999</v>
      </c>
      <c r="V72">
        <v>-6.4646580999999995E-2</v>
      </c>
      <c r="W72">
        <v>-8.4273323999999997E-2</v>
      </c>
      <c r="X72">
        <v>-7.0802818000000003E-2</v>
      </c>
      <c r="Y72">
        <v>-6.2197663E-2</v>
      </c>
      <c r="Z72">
        <v>9</v>
      </c>
      <c r="AA72">
        <v>15</v>
      </c>
      <c r="AB72">
        <v>32</v>
      </c>
      <c r="AC72">
        <v>15</v>
      </c>
      <c r="AD72">
        <v>125</v>
      </c>
      <c r="AE72">
        <v>54</v>
      </c>
      <c r="AF72">
        <v>0.54</v>
      </c>
      <c r="AG72">
        <v>0.6</v>
      </c>
      <c r="AH72">
        <v>0.45760000000000001</v>
      </c>
      <c r="AI72">
        <v>0.11477999999999999</v>
      </c>
      <c r="AJ72">
        <v>0.1095</v>
      </c>
      <c r="AK72">
        <v>1.8218799999999999</v>
      </c>
    </row>
    <row r="73" spans="1:37">
      <c r="A73" t="s">
        <v>20</v>
      </c>
      <c r="B73">
        <v>49.837869580000003</v>
      </c>
      <c r="C73">
        <v>2.7675517639999998</v>
      </c>
      <c r="D73">
        <v>1.789294637</v>
      </c>
      <c r="E73">
        <v>5.4177260000000003E-3</v>
      </c>
      <c r="F73">
        <v>1.7683573749999999</v>
      </c>
      <c r="G73">
        <v>7.1880099999999999E-3</v>
      </c>
      <c r="H73">
        <v>-2.0937262000000002E-2</v>
      </c>
      <c r="I73">
        <v>1.8167179999999999E-3</v>
      </c>
      <c r="J73">
        <v>47.688400430000002</v>
      </c>
      <c r="K73">
        <v>46.601597249999998</v>
      </c>
      <c r="L73">
        <v>51.809425779999998</v>
      </c>
      <c r="M73">
        <v>53.25205484</v>
      </c>
      <c r="N73">
        <v>1.7832142099999999</v>
      </c>
      <c r="O73">
        <v>1.7850465980000001</v>
      </c>
      <c r="P73">
        <v>1.792331549</v>
      </c>
      <c r="Q73">
        <v>1.7965861919999999</v>
      </c>
      <c r="R73">
        <v>1.7601300559999999</v>
      </c>
      <c r="S73">
        <v>1.763192849</v>
      </c>
      <c r="T73">
        <v>1.771688919</v>
      </c>
      <c r="U73">
        <v>1.7784176759999999</v>
      </c>
      <c r="V73">
        <v>-2.3084153999999999E-2</v>
      </c>
      <c r="W73">
        <v>-2.1853748999999999E-2</v>
      </c>
      <c r="X73">
        <v>-2.0642629999999999E-2</v>
      </c>
      <c r="Y73">
        <v>-1.8168515999999999E-2</v>
      </c>
      <c r="Z73">
        <v>116</v>
      </c>
      <c r="AA73">
        <v>52</v>
      </c>
      <c r="AB73">
        <v>32</v>
      </c>
      <c r="AC73">
        <v>18</v>
      </c>
      <c r="AD73">
        <v>28</v>
      </c>
      <c r="AE73">
        <v>4</v>
      </c>
      <c r="AF73">
        <v>6.96</v>
      </c>
      <c r="AG73">
        <v>2.08</v>
      </c>
      <c r="AH73">
        <v>0.45760000000000001</v>
      </c>
      <c r="AI73">
        <v>0.137736</v>
      </c>
      <c r="AJ73">
        <v>2.4528000000000001E-2</v>
      </c>
      <c r="AK73">
        <v>9.6598640000000007</v>
      </c>
    </row>
    <row r="74" spans="1:37">
      <c r="A74" t="s">
        <v>20</v>
      </c>
      <c r="B74">
        <v>53.359849570000002</v>
      </c>
      <c r="C74">
        <v>3.1376738720000001</v>
      </c>
      <c r="D74">
        <v>1.793180907</v>
      </c>
      <c r="E74">
        <v>1.9189933999999999E-2</v>
      </c>
      <c r="F74">
        <v>1.768549734</v>
      </c>
      <c r="G74">
        <v>2.1195445E-2</v>
      </c>
      <c r="H74">
        <v>-2.4631172999999999E-2</v>
      </c>
      <c r="I74">
        <v>2.0334379999999998E-3</v>
      </c>
      <c r="J74">
        <v>51.961339770000002</v>
      </c>
      <c r="K74">
        <v>58.618225189999997</v>
      </c>
      <c r="L74">
        <v>50.351871340000002</v>
      </c>
      <c r="M74">
        <v>52.507961979999997</v>
      </c>
      <c r="N74">
        <v>1.7920255730000001</v>
      </c>
      <c r="O74">
        <v>1.8061047770000001</v>
      </c>
      <c r="P74">
        <v>1.812150248</v>
      </c>
      <c r="Q74">
        <v>1.7624430280000001</v>
      </c>
      <c r="R74">
        <v>1.767725685</v>
      </c>
      <c r="S74">
        <v>1.783033095</v>
      </c>
      <c r="T74">
        <v>1.789044539</v>
      </c>
      <c r="U74">
        <v>1.7343956169999999</v>
      </c>
      <c r="V74">
        <v>-2.4299887999999999E-2</v>
      </c>
      <c r="W74">
        <v>-2.3071682E-2</v>
      </c>
      <c r="X74">
        <v>-2.3105708999999999E-2</v>
      </c>
      <c r="Y74">
        <v>-2.8047411000000001E-2</v>
      </c>
      <c r="Z74">
        <v>70</v>
      </c>
      <c r="AA74">
        <v>50</v>
      </c>
      <c r="AB74">
        <v>41</v>
      </c>
      <c r="AC74">
        <v>34</v>
      </c>
      <c r="AD74">
        <v>9</v>
      </c>
      <c r="AE74">
        <v>46</v>
      </c>
      <c r="AF74">
        <v>4.2</v>
      </c>
      <c r="AG74">
        <v>2</v>
      </c>
      <c r="AH74">
        <v>0.58630000000000004</v>
      </c>
      <c r="AI74">
        <v>0.26016800000000001</v>
      </c>
      <c r="AJ74">
        <v>7.8840000000000004E-3</v>
      </c>
      <c r="AK74">
        <v>7.0543519999999997</v>
      </c>
    </row>
    <row r="75" spans="1:37">
      <c r="A75" t="s">
        <v>20</v>
      </c>
      <c r="B75">
        <v>43.310764419999998</v>
      </c>
      <c r="C75">
        <v>0.68653567299999996</v>
      </c>
      <c r="D75">
        <v>1.8686361469999999</v>
      </c>
      <c r="E75">
        <v>1.553884E-2</v>
      </c>
      <c r="F75">
        <v>1.814331141</v>
      </c>
      <c r="G75">
        <v>8.4397300000000003E-4</v>
      </c>
      <c r="H75">
        <v>-5.4305006000000003E-2</v>
      </c>
      <c r="I75">
        <v>1.5249271E-2</v>
      </c>
      <c r="J75">
        <v>44.286150880000001</v>
      </c>
      <c r="K75">
        <v>42.893793010000003</v>
      </c>
      <c r="L75">
        <v>42.48193551</v>
      </c>
      <c r="M75">
        <v>43.581178280000003</v>
      </c>
      <c r="N75">
        <v>1.852935741</v>
      </c>
      <c r="O75">
        <v>1.8533243340000001</v>
      </c>
      <c r="P75">
        <v>1.8855545309999999</v>
      </c>
      <c r="Q75">
        <v>1.882729981</v>
      </c>
      <c r="R75">
        <v>1.815120187</v>
      </c>
      <c r="S75">
        <v>1.812921247</v>
      </c>
      <c r="T75">
        <v>1.8147932879999999</v>
      </c>
      <c r="U75">
        <v>1.81448984</v>
      </c>
      <c r="V75">
        <v>-3.7815554000000001E-2</v>
      </c>
      <c r="W75">
        <v>-4.0403086999999997E-2</v>
      </c>
      <c r="X75">
        <v>-7.0761243000000001E-2</v>
      </c>
      <c r="Y75">
        <v>-6.8240141000000004E-2</v>
      </c>
      <c r="Z75">
        <v>14</v>
      </c>
      <c r="AA75">
        <v>7</v>
      </c>
      <c r="AB75">
        <v>43</v>
      </c>
      <c r="AC75">
        <v>55</v>
      </c>
      <c r="AD75">
        <v>46</v>
      </c>
      <c r="AE75">
        <v>85</v>
      </c>
      <c r="AF75">
        <v>0.84</v>
      </c>
      <c r="AG75">
        <v>0.28000000000000003</v>
      </c>
      <c r="AH75">
        <v>0.6149</v>
      </c>
      <c r="AI75">
        <v>0.42086000000000001</v>
      </c>
      <c r="AJ75">
        <v>4.0295999999999998E-2</v>
      </c>
      <c r="AK75">
        <v>2.196056</v>
      </c>
    </row>
    <row r="76" spans="1:37">
      <c r="A76" t="s">
        <v>20</v>
      </c>
      <c r="B76">
        <v>8.1395042790000005</v>
      </c>
      <c r="C76">
        <v>11.402693470000001</v>
      </c>
      <c r="D76">
        <v>2.6708916839999999</v>
      </c>
      <c r="E76">
        <v>0.39638341500000002</v>
      </c>
      <c r="F76">
        <v>2.6162489340000001</v>
      </c>
      <c r="G76">
        <v>0.37253966399999999</v>
      </c>
      <c r="H76">
        <v>-5.4642749999999997E-2</v>
      </c>
      <c r="I76">
        <v>6.167918E-2</v>
      </c>
      <c r="J76">
        <v>24.265295989999998</v>
      </c>
      <c r="K76">
        <v>4.1126537999999997E-2</v>
      </c>
      <c r="L76">
        <v>31.359787399999998</v>
      </c>
      <c r="M76">
        <v>0.112090308</v>
      </c>
      <c r="N76">
        <v>2.1131006760000002</v>
      </c>
      <c r="O76">
        <v>2.9015004270000002</v>
      </c>
      <c r="P76">
        <v>2.1041266959999998</v>
      </c>
      <c r="Q76">
        <v>2.9980739490000001</v>
      </c>
      <c r="R76">
        <v>2.0900187159999999</v>
      </c>
      <c r="S76">
        <v>2.9015004270000002</v>
      </c>
      <c r="T76">
        <v>2.0835026189999999</v>
      </c>
      <c r="U76">
        <v>2.8572276599999999</v>
      </c>
      <c r="V76">
        <v>-2.3081959999999999E-2</v>
      </c>
      <c r="W76">
        <v>0</v>
      </c>
      <c r="X76">
        <v>-2.0624077000000001E-2</v>
      </c>
      <c r="Y76">
        <v>-0.14084628900000001</v>
      </c>
      <c r="Z76">
        <v>95</v>
      </c>
      <c r="AA76">
        <v>0</v>
      </c>
      <c r="AB76">
        <v>81</v>
      </c>
      <c r="AC76">
        <v>12</v>
      </c>
      <c r="AD76">
        <v>27</v>
      </c>
      <c r="AE76">
        <v>35</v>
      </c>
      <c r="AF76">
        <v>5.7</v>
      </c>
      <c r="AG76">
        <v>0</v>
      </c>
      <c r="AH76">
        <v>1.1583000000000001</v>
      </c>
      <c r="AI76">
        <v>9.1824000000000003E-2</v>
      </c>
      <c r="AJ76">
        <v>2.3651999999999999E-2</v>
      </c>
      <c r="AK76">
        <v>6.973776</v>
      </c>
    </row>
    <row r="77" spans="1:37">
      <c r="A77" t="s">
        <v>20</v>
      </c>
      <c r="B77">
        <v>12.35504411</v>
      </c>
      <c r="C77">
        <v>1.028589625</v>
      </c>
      <c r="D77">
        <v>1.866362243</v>
      </c>
      <c r="E77">
        <v>2.9886100000000001E-3</v>
      </c>
      <c r="F77">
        <v>1.806071156</v>
      </c>
      <c r="G77">
        <v>2.6760999999999998E-3</v>
      </c>
      <c r="H77">
        <v>-6.0291087E-2</v>
      </c>
      <c r="I77">
        <v>1.3458140000000001E-3</v>
      </c>
      <c r="J77">
        <v>10.804795110000001</v>
      </c>
      <c r="K77">
        <v>13.69685267</v>
      </c>
      <c r="L77">
        <v>12.40207785</v>
      </c>
      <c r="M77">
        <v>12.51645079</v>
      </c>
      <c r="N77">
        <v>1.861688609</v>
      </c>
      <c r="O77">
        <v>1.8699877039999999</v>
      </c>
      <c r="P77">
        <v>1.867195366</v>
      </c>
      <c r="Q77">
        <v>1.8665772920000001</v>
      </c>
      <c r="R77">
        <v>1.8032077660000001</v>
      </c>
      <c r="S77">
        <v>1.8103053849999999</v>
      </c>
      <c r="T77">
        <v>1.806274202</v>
      </c>
      <c r="U77">
        <v>1.804497271</v>
      </c>
      <c r="V77">
        <v>-5.8480842999999998E-2</v>
      </c>
      <c r="W77">
        <v>-5.9682318999999998E-2</v>
      </c>
      <c r="X77">
        <v>-6.0921164E-2</v>
      </c>
      <c r="Y77">
        <v>-6.2080020999999999E-2</v>
      </c>
      <c r="Z77">
        <v>0</v>
      </c>
      <c r="AA77">
        <v>7</v>
      </c>
      <c r="AB77">
        <v>32</v>
      </c>
      <c r="AC77">
        <v>198</v>
      </c>
      <c r="AD77">
        <v>0</v>
      </c>
      <c r="AE77">
        <v>13</v>
      </c>
      <c r="AF77">
        <v>0</v>
      </c>
      <c r="AG77">
        <v>0.28000000000000003</v>
      </c>
      <c r="AH77">
        <v>0.45760000000000001</v>
      </c>
      <c r="AI77">
        <v>1.515096</v>
      </c>
      <c r="AJ77">
        <v>0</v>
      </c>
      <c r="AK77">
        <v>2.2526959999999998</v>
      </c>
    </row>
    <row r="78" spans="1:37">
      <c r="A78" t="s">
        <v>20</v>
      </c>
      <c r="B78">
        <v>34.250591909999997</v>
      </c>
      <c r="C78">
        <v>2.893341479</v>
      </c>
      <c r="D78">
        <v>1.7477777210000001</v>
      </c>
      <c r="E78">
        <v>2.6895030000000002E-3</v>
      </c>
      <c r="F78">
        <v>1.7168926330000001</v>
      </c>
      <c r="G78">
        <v>1.0602420000000001E-3</v>
      </c>
      <c r="H78">
        <v>-3.0885089000000001E-2</v>
      </c>
      <c r="I78">
        <v>1.69681E-3</v>
      </c>
      <c r="J78">
        <v>29.308872569999998</v>
      </c>
      <c r="K78">
        <v>36.674323610000002</v>
      </c>
      <c r="L78">
        <v>35.610836429999999</v>
      </c>
      <c r="M78">
        <v>35.408335020000003</v>
      </c>
      <c r="N78">
        <v>1.744177147</v>
      </c>
      <c r="O78">
        <v>1.7464616019999999</v>
      </c>
      <c r="P78">
        <v>1.7491991330000001</v>
      </c>
      <c r="Q78">
        <v>1.7512730030000001</v>
      </c>
      <c r="R78">
        <v>1.7158462080000001</v>
      </c>
      <c r="S78">
        <v>1.715917694</v>
      </c>
      <c r="T78">
        <v>1.7174516580000001</v>
      </c>
      <c r="U78">
        <v>1.71835497</v>
      </c>
      <c r="V78">
        <v>-2.8330938999999999E-2</v>
      </c>
      <c r="W78">
        <v>-3.0543908000000002E-2</v>
      </c>
      <c r="X78">
        <v>-3.1747474999999997E-2</v>
      </c>
      <c r="Y78">
        <v>-3.2918032999999999E-2</v>
      </c>
      <c r="Z78">
        <v>5</v>
      </c>
      <c r="AA78">
        <v>74</v>
      </c>
      <c r="AB78">
        <v>53</v>
      </c>
      <c r="AC78">
        <v>34</v>
      </c>
      <c r="AD78">
        <v>28</v>
      </c>
      <c r="AE78">
        <v>56</v>
      </c>
      <c r="AF78">
        <v>0.3</v>
      </c>
      <c r="AG78">
        <v>2.96</v>
      </c>
      <c r="AH78">
        <v>0.75790000000000002</v>
      </c>
      <c r="AI78">
        <v>0.26016800000000001</v>
      </c>
      <c r="AJ78">
        <v>2.4528000000000001E-2</v>
      </c>
      <c r="AK78">
        <v>4.3025960000000003</v>
      </c>
    </row>
    <row r="79" spans="1:37">
      <c r="A79" t="s">
        <v>20</v>
      </c>
      <c r="B79">
        <v>42.252001319999998</v>
      </c>
      <c r="C79">
        <v>2.1590738620000001</v>
      </c>
      <c r="D79">
        <v>2.138099838</v>
      </c>
      <c r="E79">
        <v>4.7927480000000003E-3</v>
      </c>
      <c r="F79">
        <v>2.1094410680000002</v>
      </c>
      <c r="G79">
        <v>2.945362E-3</v>
      </c>
      <c r="H79">
        <v>-2.8658771E-2</v>
      </c>
      <c r="I79">
        <v>1.849325E-3</v>
      </c>
      <c r="J79">
        <v>38.735136009999998</v>
      </c>
      <c r="K79">
        <v>44.281843469999998</v>
      </c>
      <c r="L79">
        <v>42.27019224</v>
      </c>
      <c r="M79">
        <v>43.720833540000001</v>
      </c>
      <c r="N79">
        <v>2.1461378550000001</v>
      </c>
      <c r="O79">
        <v>2.1363158910000002</v>
      </c>
      <c r="P79">
        <v>2.1334673369999999</v>
      </c>
      <c r="Q79">
        <v>2.1364782710000001</v>
      </c>
      <c r="R79">
        <v>2.1143852760000001</v>
      </c>
      <c r="S79">
        <v>2.108239126</v>
      </c>
      <c r="T79">
        <v>2.1066190169999999</v>
      </c>
      <c r="U79">
        <v>2.1085208519999998</v>
      </c>
      <c r="V79">
        <v>-3.1752579000000003E-2</v>
      </c>
      <c r="W79">
        <v>-2.8076765E-2</v>
      </c>
      <c r="X79">
        <v>-2.6848319999999998E-2</v>
      </c>
      <c r="Y79">
        <v>-2.7957419000000001E-2</v>
      </c>
      <c r="Z79">
        <v>29</v>
      </c>
      <c r="AA79">
        <v>0</v>
      </c>
      <c r="AB79">
        <v>74</v>
      </c>
      <c r="AC79">
        <v>0</v>
      </c>
      <c r="AD79">
        <v>0</v>
      </c>
      <c r="AE79">
        <v>147</v>
      </c>
      <c r="AF79">
        <v>1.74</v>
      </c>
      <c r="AG79">
        <v>0</v>
      </c>
      <c r="AH79">
        <v>1.0582</v>
      </c>
      <c r="AI79">
        <v>0</v>
      </c>
      <c r="AJ79">
        <v>0</v>
      </c>
      <c r="AK79">
        <v>2.7982</v>
      </c>
    </row>
    <row r="80" spans="1:37">
      <c r="A80" t="s">
        <v>20</v>
      </c>
      <c r="B80">
        <v>24.955907</v>
      </c>
      <c r="C80">
        <v>2.1374298629999999</v>
      </c>
      <c r="D80">
        <v>1.694661465</v>
      </c>
      <c r="E80">
        <v>8.8023860000000006E-3</v>
      </c>
      <c r="F80">
        <v>1.6960597749999999</v>
      </c>
      <c r="G80">
        <v>7.2353000000000001E-4</v>
      </c>
      <c r="H80">
        <v>1.39831E-3</v>
      </c>
      <c r="I80">
        <v>9.1638280000000006E-3</v>
      </c>
      <c r="J80">
        <v>21.383180660000001</v>
      </c>
      <c r="K80">
        <v>26.73062685</v>
      </c>
      <c r="L80">
        <v>26.464831539999999</v>
      </c>
      <c r="M80">
        <v>25.244988939999999</v>
      </c>
      <c r="N80">
        <v>1.7019809290000001</v>
      </c>
      <c r="O80">
        <v>1.704824095</v>
      </c>
      <c r="P80">
        <v>1.6862827650000001</v>
      </c>
      <c r="Q80">
        <v>1.685558071</v>
      </c>
      <c r="R80">
        <v>1.6948515159999999</v>
      </c>
      <c r="S80">
        <v>1.696465068</v>
      </c>
      <c r="T80">
        <v>1.6961897340000001</v>
      </c>
      <c r="U80">
        <v>1.6967327830000001</v>
      </c>
      <c r="V80">
        <v>-7.1294130000000002E-3</v>
      </c>
      <c r="W80">
        <v>-8.3590269999999998E-3</v>
      </c>
      <c r="X80">
        <v>9.9069689999999998E-3</v>
      </c>
      <c r="Y80">
        <v>1.1174712E-2</v>
      </c>
      <c r="Z80">
        <v>6</v>
      </c>
      <c r="AA80">
        <v>162</v>
      </c>
      <c r="AB80">
        <v>9</v>
      </c>
      <c r="AC80">
        <v>59</v>
      </c>
      <c r="AD80">
        <v>9</v>
      </c>
      <c r="AE80">
        <v>5</v>
      </c>
      <c r="AF80">
        <v>0.36</v>
      </c>
      <c r="AG80">
        <v>6.48</v>
      </c>
      <c r="AH80">
        <v>0.12870000000000001</v>
      </c>
      <c r="AI80">
        <v>0.45146799999999998</v>
      </c>
      <c r="AJ80">
        <v>7.8840000000000004E-3</v>
      </c>
      <c r="AK80">
        <v>7.4280520000000001</v>
      </c>
    </row>
    <row r="81" spans="1:37">
      <c r="A81" t="s">
        <v>20</v>
      </c>
      <c r="B81">
        <v>0</v>
      </c>
      <c r="C81">
        <v>0</v>
      </c>
      <c r="D81">
        <v>2.666178333</v>
      </c>
      <c r="E81">
        <v>3.2089330999999999E-2</v>
      </c>
      <c r="F81">
        <v>2.666178333</v>
      </c>
      <c r="G81">
        <v>3.2089330999999999E-2</v>
      </c>
      <c r="H81">
        <v>0</v>
      </c>
      <c r="I81">
        <v>0</v>
      </c>
      <c r="J81">
        <v>16.51501055</v>
      </c>
      <c r="K81">
        <v>0</v>
      </c>
      <c r="L81">
        <v>0</v>
      </c>
      <c r="M81">
        <v>0</v>
      </c>
      <c r="N81">
        <v>1.8318648909999999</v>
      </c>
      <c r="O81">
        <v>2.6371819240000001</v>
      </c>
      <c r="P81">
        <v>2.710908871</v>
      </c>
      <c r="Q81">
        <v>2.6504442049999999</v>
      </c>
      <c r="R81">
        <v>1.7952685479999999</v>
      </c>
      <c r="S81">
        <v>2.6371819240000001</v>
      </c>
      <c r="T81">
        <v>2.710908871</v>
      </c>
      <c r="U81">
        <v>2.6504442049999999</v>
      </c>
      <c r="V81">
        <v>-3.6596343000000003E-2</v>
      </c>
      <c r="W81">
        <v>0</v>
      </c>
      <c r="X81">
        <v>0</v>
      </c>
      <c r="Y81">
        <v>0</v>
      </c>
      <c r="Z81">
        <v>17</v>
      </c>
      <c r="AA81">
        <v>9</v>
      </c>
      <c r="AB81">
        <v>96</v>
      </c>
      <c r="AC81">
        <v>126</v>
      </c>
      <c r="AD81">
        <v>0</v>
      </c>
      <c r="AE81">
        <v>2</v>
      </c>
      <c r="AF81">
        <v>1.02</v>
      </c>
      <c r="AG81">
        <v>0.36</v>
      </c>
      <c r="AH81">
        <v>1.3728</v>
      </c>
      <c r="AI81">
        <v>0.96415200000000001</v>
      </c>
      <c r="AJ81">
        <v>0</v>
      </c>
      <c r="AK81">
        <v>3.716952</v>
      </c>
    </row>
    <row r="82" spans="1:37">
      <c r="A82" t="s">
        <v>20</v>
      </c>
      <c r="B82">
        <v>39.324423529999997</v>
      </c>
      <c r="C82">
        <v>0.27203390700000002</v>
      </c>
      <c r="D82">
        <v>1.7433760679999999</v>
      </c>
      <c r="E82">
        <v>3.8149550000000001E-3</v>
      </c>
      <c r="F82">
        <v>1.7187094620000001</v>
      </c>
      <c r="G82">
        <v>4.538701E-3</v>
      </c>
      <c r="H82">
        <v>-2.4666606000000001E-2</v>
      </c>
      <c r="I82">
        <v>1.0282710000000001E-3</v>
      </c>
      <c r="J82">
        <v>39.28999477</v>
      </c>
      <c r="K82">
        <v>38.90205031</v>
      </c>
      <c r="L82">
        <v>39.63057826</v>
      </c>
      <c r="M82">
        <v>39.475070770000002</v>
      </c>
      <c r="N82">
        <v>1.749525693</v>
      </c>
      <c r="O82">
        <v>1.7421488359999999</v>
      </c>
      <c r="P82">
        <v>1.742755598</v>
      </c>
      <c r="Q82">
        <v>1.7390741439999999</v>
      </c>
      <c r="R82">
        <v>1.7264138579999999</v>
      </c>
      <c r="S82">
        <v>1.7165618499999999</v>
      </c>
      <c r="T82">
        <v>1.717153846</v>
      </c>
      <c r="U82">
        <v>1.714708294</v>
      </c>
      <c r="V82">
        <v>-2.3111835000000001E-2</v>
      </c>
      <c r="W82">
        <v>-2.5586985999999999E-2</v>
      </c>
      <c r="X82">
        <v>-2.5601751999999998E-2</v>
      </c>
      <c r="Y82">
        <v>-2.4365850000000001E-2</v>
      </c>
      <c r="Z82">
        <v>16</v>
      </c>
      <c r="AA82">
        <v>99</v>
      </c>
      <c r="AB82">
        <v>10</v>
      </c>
      <c r="AC82">
        <v>44</v>
      </c>
      <c r="AD82">
        <v>51</v>
      </c>
      <c r="AE82">
        <v>30</v>
      </c>
      <c r="AF82">
        <v>0.96</v>
      </c>
      <c r="AG82">
        <v>3.96</v>
      </c>
      <c r="AH82">
        <v>0.14299999999999999</v>
      </c>
      <c r="AI82">
        <v>0.33668799999999999</v>
      </c>
      <c r="AJ82">
        <v>4.4676E-2</v>
      </c>
      <c r="AK82">
        <v>5.4443640000000002</v>
      </c>
    </row>
    <row r="83" spans="1:37">
      <c r="A83" t="s">
        <v>20</v>
      </c>
      <c r="B83">
        <v>30.543989239999998</v>
      </c>
      <c r="C83">
        <v>1.499653914</v>
      </c>
      <c r="D83">
        <v>1.8436557440000001</v>
      </c>
      <c r="E83">
        <v>6.7981109999999999E-3</v>
      </c>
      <c r="F83">
        <v>1.803278199</v>
      </c>
      <c r="G83">
        <v>6.8026639999999999E-3</v>
      </c>
      <c r="H83">
        <v>-4.0377544000000001E-2</v>
      </c>
      <c r="I83" s="5" t="s">
        <v>46</v>
      </c>
      <c r="J83">
        <v>28.099021740000001</v>
      </c>
      <c r="K83">
        <v>31.155141090000001</v>
      </c>
      <c r="L83">
        <v>32.154811639999998</v>
      </c>
      <c r="M83">
        <v>30.766982479999999</v>
      </c>
      <c r="N83">
        <v>1.8391142119999999</v>
      </c>
      <c r="O83">
        <v>1.835150093</v>
      </c>
      <c r="P83">
        <v>1.8483393370000001</v>
      </c>
      <c r="Q83">
        <v>1.852019332</v>
      </c>
      <c r="R83">
        <v>1.7987161110000001</v>
      </c>
      <c r="S83">
        <v>1.7947826099999999</v>
      </c>
      <c r="T83">
        <v>1.8079542310000001</v>
      </c>
      <c r="U83">
        <v>1.8116598450000001</v>
      </c>
      <c r="V83">
        <v>-4.0398100999999999E-2</v>
      </c>
      <c r="W83">
        <v>-4.0367483000000003E-2</v>
      </c>
      <c r="X83">
        <v>-4.0385105999999997E-2</v>
      </c>
      <c r="Y83">
        <v>-4.0359486999999999E-2</v>
      </c>
      <c r="Z83">
        <v>0</v>
      </c>
      <c r="AA83">
        <v>41</v>
      </c>
      <c r="AB83">
        <v>0</v>
      </c>
      <c r="AC83">
        <v>139</v>
      </c>
      <c r="AD83">
        <v>59</v>
      </c>
      <c r="AE83">
        <v>11</v>
      </c>
      <c r="AF83">
        <v>0</v>
      </c>
      <c r="AG83">
        <v>1.64</v>
      </c>
      <c r="AH83">
        <v>0</v>
      </c>
      <c r="AI83">
        <v>1.063628</v>
      </c>
      <c r="AJ83">
        <v>5.1684000000000001E-2</v>
      </c>
      <c r="AK83">
        <v>2.755312</v>
      </c>
    </row>
    <row r="84" spans="1:37">
      <c r="A84" t="s">
        <v>20</v>
      </c>
      <c r="B84">
        <v>4.8823084330000004</v>
      </c>
      <c r="C84">
        <v>5.349988143</v>
      </c>
      <c r="D84">
        <v>0.59931019600000002</v>
      </c>
      <c r="E84">
        <v>0.84755260799999999</v>
      </c>
      <c r="F84">
        <v>0.59124454100000001</v>
      </c>
      <c r="G84">
        <v>0.836146049</v>
      </c>
      <c r="H84">
        <v>-8.0656549999999997E-3</v>
      </c>
      <c r="I84">
        <v>1.1406559E-2</v>
      </c>
      <c r="J84">
        <v>2.3178799699999999</v>
      </c>
      <c r="K84">
        <v>12.32904533</v>
      </c>
      <c r="L84">
        <v>0</v>
      </c>
      <c r="M84">
        <v>28.676542810000001</v>
      </c>
      <c r="N84">
        <v>0</v>
      </c>
      <c r="O84">
        <v>1.7979305889999999</v>
      </c>
      <c r="P84">
        <v>0</v>
      </c>
      <c r="Q84">
        <v>1.851319374</v>
      </c>
      <c r="R84">
        <v>0</v>
      </c>
      <c r="S84">
        <v>1.7737336239999999</v>
      </c>
      <c r="T84">
        <v>0</v>
      </c>
      <c r="U84">
        <v>1.810953099</v>
      </c>
      <c r="V84">
        <v>0</v>
      </c>
      <c r="W84">
        <v>-2.4196965000000001E-2</v>
      </c>
      <c r="X84">
        <v>0</v>
      </c>
      <c r="Y84">
        <v>-4.0366275E-2</v>
      </c>
      <c r="Z84">
        <v>25</v>
      </c>
      <c r="AA84">
        <v>14</v>
      </c>
      <c r="AB84">
        <v>121</v>
      </c>
      <c r="AC84">
        <v>84</v>
      </c>
      <c r="AD84">
        <v>0</v>
      </c>
      <c r="AE84">
        <v>6</v>
      </c>
      <c r="AF84">
        <v>1.5</v>
      </c>
      <c r="AG84">
        <v>0.56000000000000005</v>
      </c>
      <c r="AH84">
        <v>1.7302999999999999</v>
      </c>
      <c r="AI84">
        <v>0.64276800000000001</v>
      </c>
      <c r="AJ84">
        <v>0</v>
      </c>
      <c r="AK84">
        <v>4.4330679999999996</v>
      </c>
    </row>
    <row r="85" spans="1:37">
      <c r="A85" t="s">
        <v>20</v>
      </c>
      <c r="B85">
        <v>11.647953729999999</v>
      </c>
      <c r="C85">
        <v>16.472694140000002</v>
      </c>
      <c r="D85">
        <v>0.70407106100000005</v>
      </c>
      <c r="E85">
        <v>0.99570684300000001</v>
      </c>
      <c r="F85">
        <v>0.697194655</v>
      </c>
      <c r="G85">
        <v>0.98598213700000004</v>
      </c>
      <c r="H85">
        <v>-6.8764059999999998E-3</v>
      </c>
      <c r="I85">
        <v>9.7247059999999996E-3</v>
      </c>
      <c r="J85">
        <v>0</v>
      </c>
      <c r="K85">
        <v>34.943861200000001</v>
      </c>
      <c r="L85">
        <v>0</v>
      </c>
      <c r="M85">
        <v>36.914481860000002</v>
      </c>
      <c r="N85">
        <v>0</v>
      </c>
      <c r="O85">
        <v>2.1122131820000001</v>
      </c>
      <c r="P85">
        <v>0</v>
      </c>
      <c r="Q85">
        <v>2.1115192060000001</v>
      </c>
      <c r="R85">
        <v>0</v>
      </c>
      <c r="S85">
        <v>2.0915839649999999</v>
      </c>
      <c r="T85">
        <v>0</v>
      </c>
      <c r="U85">
        <v>2.088418168</v>
      </c>
      <c r="V85">
        <v>0</v>
      </c>
      <c r="W85">
        <v>-2.0629216999999998E-2</v>
      </c>
      <c r="X85">
        <v>0</v>
      </c>
      <c r="Y85">
        <v>-2.3101038000000001E-2</v>
      </c>
      <c r="Z85">
        <v>49</v>
      </c>
      <c r="AA85">
        <v>0</v>
      </c>
      <c r="AB85">
        <v>129</v>
      </c>
      <c r="AC85">
        <v>17</v>
      </c>
      <c r="AD85">
        <v>20</v>
      </c>
      <c r="AE85">
        <v>35</v>
      </c>
      <c r="AF85">
        <v>2.94</v>
      </c>
      <c r="AG85">
        <v>0</v>
      </c>
      <c r="AH85">
        <v>1.8447</v>
      </c>
      <c r="AI85">
        <v>0.13008400000000001</v>
      </c>
      <c r="AJ85">
        <v>1.7520000000000001E-2</v>
      </c>
      <c r="AK85">
        <v>4.9323040000000002</v>
      </c>
    </row>
    <row r="86" spans="1:37">
      <c r="A86" t="s">
        <v>20</v>
      </c>
      <c r="B86">
        <v>40.749014549999998</v>
      </c>
      <c r="C86">
        <v>0.868159291</v>
      </c>
      <c r="D86">
        <v>2.1550788910000001</v>
      </c>
      <c r="E86">
        <v>4.3920679999999998E-3</v>
      </c>
      <c r="F86">
        <v>2.121524483</v>
      </c>
      <c r="G86">
        <v>4.6023669999999996E-3</v>
      </c>
      <c r="H86">
        <v>-3.3554408000000001E-2</v>
      </c>
      <c r="I86">
        <v>1.398236E-3</v>
      </c>
      <c r="J86">
        <v>42.031491369999998</v>
      </c>
      <c r="K86">
        <v>39.965313809999998</v>
      </c>
      <c r="L86">
        <v>39.937719139999999</v>
      </c>
      <c r="M86">
        <v>41.061533879999999</v>
      </c>
      <c r="N86">
        <v>2.162288175</v>
      </c>
      <c r="O86">
        <v>2.1537592069999998</v>
      </c>
      <c r="P86">
        <v>2.1538808039999999</v>
      </c>
      <c r="Q86">
        <v>2.1503873790000001</v>
      </c>
      <c r="R86">
        <v>2.1294527649999999</v>
      </c>
      <c r="S86">
        <v>2.1183398000000002</v>
      </c>
      <c r="T86">
        <v>2.1196407430000002</v>
      </c>
      <c r="U86">
        <v>2.1186646250000001</v>
      </c>
      <c r="V86">
        <v>-3.2835410000000002E-2</v>
      </c>
      <c r="W86">
        <v>-3.5419407E-2</v>
      </c>
      <c r="X86">
        <v>-3.4240061000000002E-2</v>
      </c>
      <c r="Y86">
        <v>-3.1722753999999999E-2</v>
      </c>
      <c r="Z86">
        <v>20</v>
      </c>
      <c r="AA86">
        <v>0</v>
      </c>
      <c r="AB86">
        <v>52</v>
      </c>
      <c r="AC86">
        <v>40</v>
      </c>
      <c r="AD86">
        <v>44</v>
      </c>
      <c r="AE86">
        <v>94</v>
      </c>
      <c r="AF86">
        <v>1.2</v>
      </c>
      <c r="AG86">
        <v>0</v>
      </c>
      <c r="AH86">
        <v>0.74360000000000004</v>
      </c>
      <c r="AI86">
        <v>0.30608000000000002</v>
      </c>
      <c r="AJ86">
        <v>3.8544000000000002E-2</v>
      </c>
      <c r="AK86">
        <v>2.288224</v>
      </c>
    </row>
    <row r="87" spans="1:37">
      <c r="A87" t="s">
        <v>20</v>
      </c>
      <c r="B87">
        <v>31.451260139999999</v>
      </c>
      <c r="C87">
        <v>14.871534670000001</v>
      </c>
      <c r="D87">
        <v>1.9239807529999999</v>
      </c>
      <c r="E87">
        <v>0.23570154099999999</v>
      </c>
      <c r="F87">
        <v>1.9061669379999999</v>
      </c>
      <c r="G87">
        <v>0.23426354399999999</v>
      </c>
      <c r="H87">
        <v>-1.7813815E-2</v>
      </c>
      <c r="I87">
        <v>1.5262590000000001E-3</v>
      </c>
      <c r="J87">
        <v>10.44295971</v>
      </c>
      <c r="K87">
        <v>42.811155579999998</v>
      </c>
      <c r="L87">
        <v>0</v>
      </c>
      <c r="M87">
        <v>41.099665119999997</v>
      </c>
      <c r="N87">
        <v>1.590655317</v>
      </c>
      <c r="O87">
        <v>2.0887887740000002</v>
      </c>
      <c r="P87">
        <v>0</v>
      </c>
      <c r="Q87">
        <v>2.0924981680000001</v>
      </c>
      <c r="R87">
        <v>1.5748712469999999</v>
      </c>
      <c r="S87">
        <v>2.070595934</v>
      </c>
      <c r="T87">
        <v>0</v>
      </c>
      <c r="U87">
        <v>2.0730336340000002</v>
      </c>
      <c r="V87">
        <v>-1.5784070000000001E-2</v>
      </c>
      <c r="W87">
        <v>-1.8192839999999998E-2</v>
      </c>
      <c r="X87">
        <v>0</v>
      </c>
      <c r="Y87">
        <v>-1.9464533999999999E-2</v>
      </c>
      <c r="Z87">
        <v>92</v>
      </c>
      <c r="AA87">
        <v>0</v>
      </c>
      <c r="AB87">
        <v>48</v>
      </c>
      <c r="AC87">
        <v>42</v>
      </c>
      <c r="AD87">
        <v>50</v>
      </c>
      <c r="AE87">
        <v>18</v>
      </c>
      <c r="AF87">
        <v>5.52</v>
      </c>
      <c r="AG87">
        <v>0</v>
      </c>
      <c r="AH87">
        <v>0.68640000000000001</v>
      </c>
      <c r="AI87">
        <v>0.321384</v>
      </c>
      <c r="AJ87">
        <v>4.3799999999999999E-2</v>
      </c>
      <c r="AK87">
        <v>6.5715839999999996</v>
      </c>
    </row>
    <row r="88" spans="1:37">
      <c r="A88" t="s">
        <v>20</v>
      </c>
      <c r="B88">
        <v>56.786354920000001</v>
      </c>
      <c r="C88">
        <v>2.7417283779999999</v>
      </c>
      <c r="D88">
        <v>1.788449873</v>
      </c>
      <c r="E88">
        <v>1.906895E-3</v>
      </c>
      <c r="F88">
        <v>1.769918713</v>
      </c>
      <c r="G88">
        <v>9.7035700000000003E-4</v>
      </c>
      <c r="H88">
        <v>-1.8531161000000001E-2</v>
      </c>
      <c r="I88">
        <v>1.0209100000000001E-3</v>
      </c>
      <c r="J88">
        <v>52.081809929999999</v>
      </c>
      <c r="K88">
        <v>57.847688859999998</v>
      </c>
      <c r="L88">
        <v>58.31416514</v>
      </c>
      <c r="M88">
        <v>58.901755739999999</v>
      </c>
      <c r="N88">
        <v>1.7852883500000001</v>
      </c>
      <c r="O88">
        <v>1.788697631</v>
      </c>
      <c r="P88">
        <v>1.789557928</v>
      </c>
      <c r="Q88">
        <v>1.7902555849999999</v>
      </c>
      <c r="R88">
        <v>1.768293458</v>
      </c>
      <c r="S88">
        <v>1.7704798909999999</v>
      </c>
      <c r="T88">
        <v>1.770101562</v>
      </c>
      <c r="U88">
        <v>1.770799939</v>
      </c>
      <c r="V88">
        <v>-1.6994892000000001E-2</v>
      </c>
      <c r="W88">
        <v>-1.821774E-2</v>
      </c>
      <c r="X88">
        <v>-1.9456365999999999E-2</v>
      </c>
      <c r="Y88">
        <v>-1.9455646E-2</v>
      </c>
      <c r="Z88">
        <v>87</v>
      </c>
      <c r="AA88">
        <v>5</v>
      </c>
      <c r="AB88">
        <v>62</v>
      </c>
      <c r="AC88">
        <v>5</v>
      </c>
      <c r="AD88">
        <v>34</v>
      </c>
      <c r="AE88">
        <v>57</v>
      </c>
      <c r="AF88">
        <v>5.22</v>
      </c>
      <c r="AG88">
        <v>0.2</v>
      </c>
      <c r="AH88">
        <v>0.88660000000000005</v>
      </c>
      <c r="AI88">
        <v>3.8260000000000002E-2</v>
      </c>
      <c r="AJ88">
        <v>2.9784000000000001E-2</v>
      </c>
      <c r="AK88">
        <v>6.374644</v>
      </c>
    </row>
    <row r="89" spans="1:37">
      <c r="A89" t="s">
        <v>20</v>
      </c>
      <c r="B89">
        <v>1.649492481</v>
      </c>
      <c r="C89">
        <v>0.35696324600000001</v>
      </c>
      <c r="D89">
        <v>2.5688564619999998</v>
      </c>
      <c r="E89">
        <v>4.6869019999999997E-3</v>
      </c>
      <c r="F89">
        <v>2.4860760989999999</v>
      </c>
      <c r="G89">
        <v>4.1372320000000002E-3</v>
      </c>
      <c r="H89">
        <v>-8.2780362999999996E-2</v>
      </c>
      <c r="I89">
        <v>2.6208630000000002E-3</v>
      </c>
      <c r="J89">
        <v>5.0230287010000003</v>
      </c>
      <c r="K89">
        <v>1.250887823</v>
      </c>
      <c r="L89">
        <v>2.1170668429999999</v>
      </c>
      <c r="M89">
        <v>1.5805227770000001</v>
      </c>
      <c r="N89">
        <v>2.5658744580000001</v>
      </c>
      <c r="O89">
        <v>2.5745754509999998</v>
      </c>
      <c r="P89">
        <v>2.5630951670000002</v>
      </c>
      <c r="Q89">
        <v>2.568898769</v>
      </c>
      <c r="R89">
        <v>2.4955257259999999</v>
      </c>
      <c r="S89">
        <v>2.491916324</v>
      </c>
      <c r="T89">
        <v>2.4834623570000001</v>
      </c>
      <c r="U89">
        <v>2.4828496160000002</v>
      </c>
      <c r="V89">
        <v>-7.0348731999999997E-2</v>
      </c>
      <c r="W89">
        <v>-8.2659126999999999E-2</v>
      </c>
      <c r="X89">
        <v>-7.9632809999999998E-2</v>
      </c>
      <c r="Y89">
        <v>-8.6049153000000003E-2</v>
      </c>
      <c r="Z89">
        <v>0</v>
      </c>
      <c r="AA89">
        <v>0</v>
      </c>
      <c r="AB89">
        <v>113</v>
      </c>
      <c r="AC89">
        <v>24</v>
      </c>
      <c r="AD89">
        <v>42</v>
      </c>
      <c r="AE89">
        <v>71</v>
      </c>
      <c r="AF89">
        <v>0</v>
      </c>
      <c r="AG89">
        <v>0</v>
      </c>
      <c r="AH89">
        <v>1.6158999999999999</v>
      </c>
      <c r="AI89">
        <v>0.18364800000000001</v>
      </c>
      <c r="AJ89">
        <v>3.6791999999999998E-2</v>
      </c>
      <c r="AK89">
        <v>1.8363400000000001</v>
      </c>
    </row>
    <row r="90" spans="1:37">
      <c r="A90" t="s">
        <v>20</v>
      </c>
      <c r="B90">
        <v>33.705702199999998</v>
      </c>
      <c r="C90">
        <v>2.1967381530000001</v>
      </c>
      <c r="D90">
        <v>1.814216091</v>
      </c>
      <c r="E90">
        <v>2.129742E-3</v>
      </c>
      <c r="F90">
        <v>1.7843527189999999</v>
      </c>
      <c r="G90">
        <v>1.457014E-3</v>
      </c>
      <c r="H90">
        <v>-2.9863371999999999E-2</v>
      </c>
      <c r="I90">
        <v>1.3940859999999999E-3</v>
      </c>
      <c r="J90">
        <v>37.268804639999999</v>
      </c>
      <c r="K90">
        <v>32.759330740000003</v>
      </c>
      <c r="L90">
        <v>31.327833179999999</v>
      </c>
      <c r="M90">
        <v>33.466840230000003</v>
      </c>
      <c r="N90">
        <v>1.8129765</v>
      </c>
      <c r="O90">
        <v>1.812696026</v>
      </c>
      <c r="P90">
        <v>1.813305921</v>
      </c>
      <c r="Q90">
        <v>1.817885916</v>
      </c>
      <c r="R90">
        <v>1.7849961560000001</v>
      </c>
      <c r="S90">
        <v>1.782187266</v>
      </c>
      <c r="T90">
        <v>1.7840577710000001</v>
      </c>
      <c r="U90">
        <v>1.7861696840000001</v>
      </c>
      <c r="V90">
        <v>-2.7980344000000001E-2</v>
      </c>
      <c r="W90">
        <v>-3.0508759999999999E-2</v>
      </c>
      <c r="X90">
        <v>-2.9248150000000001E-2</v>
      </c>
      <c r="Y90">
        <v>-3.1716231999999997E-2</v>
      </c>
      <c r="Z90">
        <v>10</v>
      </c>
      <c r="AA90">
        <v>9</v>
      </c>
      <c r="AB90">
        <v>155</v>
      </c>
      <c r="AC90">
        <v>17</v>
      </c>
      <c r="AD90">
        <v>46</v>
      </c>
      <c r="AE90">
        <v>13</v>
      </c>
      <c r="AF90">
        <v>0.6</v>
      </c>
      <c r="AG90">
        <v>0.36</v>
      </c>
      <c r="AH90">
        <v>2.2164999999999999</v>
      </c>
      <c r="AI90">
        <v>0.13008400000000001</v>
      </c>
      <c r="AJ90">
        <v>4.0295999999999998E-2</v>
      </c>
      <c r="AK90">
        <v>3.3468800000000001</v>
      </c>
    </row>
    <row r="91" spans="1:37">
      <c r="A91" t="s">
        <v>20</v>
      </c>
      <c r="B91">
        <v>50.982694160000001</v>
      </c>
      <c r="C91">
        <v>1.435363422</v>
      </c>
      <c r="D91">
        <v>1.791529726</v>
      </c>
      <c r="E91">
        <v>1.935151E-3</v>
      </c>
      <c r="F91">
        <v>1.7693131040000001</v>
      </c>
      <c r="G91">
        <v>2.0058960000000001E-3</v>
      </c>
      <c r="H91">
        <v>-2.2216621999999998E-2</v>
      </c>
      <c r="I91">
        <v>9.9690299999999994E-4</v>
      </c>
      <c r="J91">
        <v>48.732070720000003</v>
      </c>
      <c r="K91">
        <v>52.64476483</v>
      </c>
      <c r="L91">
        <v>50.930494969999998</v>
      </c>
      <c r="M91">
        <v>51.623446119999997</v>
      </c>
      <c r="N91">
        <v>1.789295512</v>
      </c>
      <c r="O91">
        <v>1.790374328</v>
      </c>
      <c r="P91">
        <v>1.7944303189999999</v>
      </c>
      <c r="Q91">
        <v>1.7920187460000001</v>
      </c>
      <c r="R91">
        <v>1.7673455250000001</v>
      </c>
      <c r="S91">
        <v>1.767269255</v>
      </c>
      <c r="T91">
        <v>1.77131599</v>
      </c>
      <c r="U91">
        <v>1.771321645</v>
      </c>
      <c r="V91">
        <v>-2.1949987000000001E-2</v>
      </c>
      <c r="W91">
        <v>-2.3105073E-2</v>
      </c>
      <c r="X91">
        <v>-2.3114328999999999E-2</v>
      </c>
      <c r="Y91">
        <v>-2.0697100999999999E-2</v>
      </c>
      <c r="Z91">
        <v>86</v>
      </c>
      <c r="AA91">
        <v>10</v>
      </c>
      <c r="AB91">
        <v>0</v>
      </c>
      <c r="AC91">
        <v>30</v>
      </c>
      <c r="AD91">
        <v>114</v>
      </c>
      <c r="AE91">
        <v>10</v>
      </c>
      <c r="AF91">
        <v>5.16</v>
      </c>
      <c r="AG91">
        <v>0.4</v>
      </c>
      <c r="AH91">
        <v>0</v>
      </c>
      <c r="AI91">
        <v>0.22955999999999999</v>
      </c>
      <c r="AJ91">
        <v>9.9863999999999994E-2</v>
      </c>
      <c r="AK91">
        <v>5.889424</v>
      </c>
    </row>
    <row r="92" spans="1:37">
      <c r="A92" t="s">
        <v>20</v>
      </c>
      <c r="B92">
        <v>29.91865</v>
      </c>
      <c r="C92">
        <v>0.27383066900000003</v>
      </c>
      <c r="D92">
        <v>1.754926083</v>
      </c>
      <c r="E92">
        <v>4.2472550000000001E-3</v>
      </c>
      <c r="F92">
        <v>1.7209901729999999</v>
      </c>
      <c r="G92">
        <v>6.8360319999999997E-3</v>
      </c>
      <c r="H92">
        <v>-3.393591E-2</v>
      </c>
      <c r="I92">
        <v>2.8195949999999998E-3</v>
      </c>
      <c r="J92">
        <v>30.111297069999999</v>
      </c>
      <c r="K92">
        <v>29.813175690000001</v>
      </c>
      <c r="L92">
        <v>29.523001350000001</v>
      </c>
      <c r="M92">
        <v>30.227125869999998</v>
      </c>
      <c r="N92">
        <v>1.7621271169999999</v>
      </c>
      <c r="O92">
        <v>1.7516577959999999</v>
      </c>
      <c r="P92">
        <v>1.753931015</v>
      </c>
      <c r="Q92">
        <v>1.7519884029999999</v>
      </c>
      <c r="R92">
        <v>1.7328166359999999</v>
      </c>
      <c r="S92">
        <v>1.7174482</v>
      </c>
      <c r="T92">
        <v>1.717162678</v>
      </c>
      <c r="U92">
        <v>1.7165331770000001</v>
      </c>
      <c r="V92">
        <v>-2.9310480999999999E-2</v>
      </c>
      <c r="W92">
        <v>-3.4209596000000002E-2</v>
      </c>
      <c r="X92">
        <v>-3.6768336999999998E-2</v>
      </c>
      <c r="Y92">
        <v>-3.5455225999999999E-2</v>
      </c>
      <c r="Z92">
        <v>5</v>
      </c>
      <c r="AA92">
        <v>52</v>
      </c>
      <c r="AB92">
        <v>54</v>
      </c>
      <c r="AC92">
        <v>104</v>
      </c>
      <c r="AD92">
        <v>0</v>
      </c>
      <c r="AE92">
        <v>35</v>
      </c>
      <c r="AF92">
        <v>0.3</v>
      </c>
      <c r="AG92">
        <v>2.08</v>
      </c>
      <c r="AH92">
        <v>0.7722</v>
      </c>
      <c r="AI92">
        <v>0.79580799999999996</v>
      </c>
      <c r="AJ92">
        <v>0</v>
      </c>
      <c r="AK92">
        <v>3.9480080000000002</v>
      </c>
    </row>
    <row r="93" spans="1:37">
      <c r="A93" t="s">
        <v>20</v>
      </c>
      <c r="B93">
        <v>29.331006550000001</v>
      </c>
      <c r="C93">
        <v>0.70751660599999999</v>
      </c>
      <c r="D93">
        <v>1.8411674099999999</v>
      </c>
      <c r="E93">
        <v>3.9424810000000003E-3</v>
      </c>
      <c r="F93">
        <v>1.8069847189999999</v>
      </c>
      <c r="G93">
        <v>3.0142369999999999E-3</v>
      </c>
      <c r="H93">
        <v>-3.4182691000000001E-2</v>
      </c>
      <c r="I93">
        <v>1.0399039999999999E-3</v>
      </c>
      <c r="J93">
        <v>29.357472059999999</v>
      </c>
      <c r="K93">
        <v>28.451549629999999</v>
      </c>
      <c r="L93">
        <v>30.183997959999999</v>
      </c>
      <c r="M93">
        <v>1.357874E-3</v>
      </c>
      <c r="N93">
        <v>1.844565504</v>
      </c>
      <c r="O93">
        <v>1.8432964759999999</v>
      </c>
      <c r="P93">
        <v>1.83564025</v>
      </c>
      <c r="Q93">
        <v>0</v>
      </c>
      <c r="R93">
        <v>1.809100199</v>
      </c>
      <c r="S93">
        <v>1.809131974</v>
      </c>
      <c r="T93">
        <v>1.8027219839999999</v>
      </c>
      <c r="U93">
        <v>0</v>
      </c>
      <c r="V93">
        <v>-3.5465305000000003E-2</v>
      </c>
      <c r="W93">
        <v>-3.4164501999999999E-2</v>
      </c>
      <c r="X93">
        <v>-3.2918266000000002E-2</v>
      </c>
      <c r="Y93">
        <v>0</v>
      </c>
      <c r="Z93">
        <v>33</v>
      </c>
      <c r="AA93">
        <v>6</v>
      </c>
      <c r="AB93">
        <v>125</v>
      </c>
      <c r="AC93">
        <v>18</v>
      </c>
      <c r="AD93">
        <v>19</v>
      </c>
      <c r="AE93">
        <v>49</v>
      </c>
      <c r="AF93">
        <v>1.98</v>
      </c>
      <c r="AG93">
        <v>0.24</v>
      </c>
      <c r="AH93">
        <v>1.7875000000000001</v>
      </c>
      <c r="AI93">
        <v>0.137736</v>
      </c>
      <c r="AJ93">
        <v>1.6643999999999999E-2</v>
      </c>
      <c r="AK93">
        <v>4.16188</v>
      </c>
    </row>
    <row r="94" spans="1:37">
      <c r="A94" t="s">
        <v>20</v>
      </c>
      <c r="B94">
        <v>47.943350369999997</v>
      </c>
      <c r="C94">
        <v>0.83169580799999998</v>
      </c>
      <c r="D94">
        <v>1.7375118730000001</v>
      </c>
      <c r="E94">
        <v>2.5516739999999999E-3</v>
      </c>
      <c r="F94">
        <v>1.713465875</v>
      </c>
      <c r="G94">
        <v>2.3222680000000002E-3</v>
      </c>
      <c r="H94">
        <v>-2.4045997999999999E-2</v>
      </c>
      <c r="I94">
        <v>5.4817099999999997E-4</v>
      </c>
      <c r="J94">
        <v>47.793214480000003</v>
      </c>
      <c r="K94">
        <v>47.552015539999999</v>
      </c>
      <c r="L94">
        <v>47.108510610000003</v>
      </c>
      <c r="M94">
        <v>49.319660839999997</v>
      </c>
      <c r="N94">
        <v>1.741763553</v>
      </c>
      <c r="O94">
        <v>1.7372092210000001</v>
      </c>
      <c r="P94">
        <v>1.7357353010000001</v>
      </c>
      <c r="Q94">
        <v>1.7353394150000001</v>
      </c>
      <c r="R94">
        <v>1.717381762</v>
      </c>
      <c r="S94">
        <v>1.712866596</v>
      </c>
      <c r="T94">
        <v>1.711372567</v>
      </c>
      <c r="U94">
        <v>1.712242574</v>
      </c>
      <c r="V94">
        <v>-2.4381791E-2</v>
      </c>
      <c r="W94">
        <v>-2.4342625E-2</v>
      </c>
      <c r="X94">
        <v>-2.4362734E-2</v>
      </c>
      <c r="Y94">
        <v>-2.3096841E-2</v>
      </c>
      <c r="Z94">
        <v>17</v>
      </c>
      <c r="AA94">
        <v>87</v>
      </c>
      <c r="AB94">
        <v>19</v>
      </c>
      <c r="AC94">
        <v>17</v>
      </c>
      <c r="AD94">
        <v>32</v>
      </c>
      <c r="AE94">
        <v>78</v>
      </c>
      <c r="AF94">
        <v>1.02</v>
      </c>
      <c r="AG94">
        <v>3.48</v>
      </c>
      <c r="AH94">
        <v>0.2717</v>
      </c>
      <c r="AI94">
        <v>0.13008400000000001</v>
      </c>
      <c r="AJ94">
        <v>2.8032000000000001E-2</v>
      </c>
      <c r="AK94">
        <v>4.9298159999999998</v>
      </c>
    </row>
    <row r="95" spans="1:37">
      <c r="A95" t="s">
        <v>20</v>
      </c>
      <c r="B95">
        <v>50.63847621</v>
      </c>
      <c r="C95">
        <v>8.9604217930000001</v>
      </c>
      <c r="D95">
        <v>2.147534549</v>
      </c>
      <c r="E95">
        <v>1.3575462E-2</v>
      </c>
      <c r="F95">
        <v>2.122752626</v>
      </c>
      <c r="G95">
        <v>1.2186542E-2</v>
      </c>
      <c r="H95">
        <v>-2.4781923000000001E-2</v>
      </c>
      <c r="I95">
        <v>2.0781129999999999E-3</v>
      </c>
      <c r="J95">
        <v>44.830516299999999</v>
      </c>
      <c r="K95">
        <v>0</v>
      </c>
      <c r="L95">
        <v>63.296144660000003</v>
      </c>
      <c r="M95">
        <v>43.788767659999998</v>
      </c>
      <c r="N95">
        <v>2.1374803519999999</v>
      </c>
      <c r="O95">
        <v>0</v>
      </c>
      <c r="P95">
        <v>2.1667258490000001</v>
      </c>
      <c r="Q95">
        <v>2.1383974459999999</v>
      </c>
      <c r="R95">
        <v>2.1155535639999998</v>
      </c>
      <c r="S95">
        <v>0</v>
      </c>
      <c r="T95">
        <v>2.1399130510000002</v>
      </c>
      <c r="U95">
        <v>2.112791262</v>
      </c>
      <c r="V95">
        <v>-2.1926787999999999E-2</v>
      </c>
      <c r="W95">
        <v>0</v>
      </c>
      <c r="X95">
        <v>-2.6812797999999999E-2</v>
      </c>
      <c r="Y95">
        <v>-2.5606184000000001E-2</v>
      </c>
      <c r="Z95">
        <v>29</v>
      </c>
      <c r="AA95">
        <v>0</v>
      </c>
      <c r="AB95">
        <v>78</v>
      </c>
      <c r="AC95">
        <v>6</v>
      </c>
      <c r="AD95">
        <v>0</v>
      </c>
      <c r="AE95">
        <v>137</v>
      </c>
      <c r="AF95">
        <v>1.74</v>
      </c>
      <c r="AG95">
        <v>0</v>
      </c>
      <c r="AH95">
        <v>1.1153999999999999</v>
      </c>
      <c r="AI95">
        <v>4.5912000000000001E-2</v>
      </c>
      <c r="AJ95">
        <v>0</v>
      </c>
      <c r="AK95">
        <v>2.9013119999999999</v>
      </c>
    </row>
    <row r="96" spans="1:37">
      <c r="A96" t="s">
        <v>20</v>
      </c>
      <c r="B96">
        <v>58.459646929999998</v>
      </c>
      <c r="C96">
        <v>2.5271876029999998</v>
      </c>
      <c r="D96">
        <v>1.7534108399999999</v>
      </c>
      <c r="E96">
        <v>1.2306400000000001E-3</v>
      </c>
      <c r="F96">
        <v>1.7280937089999999</v>
      </c>
      <c r="G96">
        <v>2.103831E-3</v>
      </c>
      <c r="H96">
        <v>-2.531713E-2</v>
      </c>
      <c r="I96">
        <v>2.808797E-3</v>
      </c>
      <c r="J96">
        <v>56.796579989999998</v>
      </c>
      <c r="K96">
        <v>56.810161710000003</v>
      </c>
      <c r="L96">
        <v>62.815331710000002</v>
      </c>
      <c r="M96">
        <v>57.416514300000003</v>
      </c>
      <c r="N96">
        <v>1.752270993</v>
      </c>
      <c r="O96">
        <v>1.7545141529999999</v>
      </c>
      <c r="P96">
        <v>1.7547596480000001</v>
      </c>
      <c r="Q96">
        <v>1.752098564</v>
      </c>
      <c r="R96">
        <v>1.731588125</v>
      </c>
      <c r="S96">
        <v>1.7264409270000001</v>
      </c>
      <c r="T96">
        <v>1.7279029539999999</v>
      </c>
      <c r="U96">
        <v>1.726442831</v>
      </c>
      <c r="V96">
        <v>-2.0682868E-2</v>
      </c>
      <c r="W96">
        <v>-2.8073226E-2</v>
      </c>
      <c r="X96">
        <v>-2.6856694E-2</v>
      </c>
      <c r="Y96">
        <v>-2.5655733E-2</v>
      </c>
      <c r="Z96">
        <v>5</v>
      </c>
      <c r="AA96">
        <v>55</v>
      </c>
      <c r="AB96">
        <v>22</v>
      </c>
      <c r="AC96">
        <v>6</v>
      </c>
      <c r="AD96">
        <v>125</v>
      </c>
      <c r="AE96">
        <v>37</v>
      </c>
      <c r="AF96">
        <v>0.3</v>
      </c>
      <c r="AG96">
        <v>2.2000000000000002</v>
      </c>
      <c r="AH96">
        <v>0.31459999999999999</v>
      </c>
      <c r="AI96">
        <v>4.5912000000000001E-2</v>
      </c>
      <c r="AJ96">
        <v>0.1095</v>
      </c>
      <c r="AK96">
        <v>2.9700120000000001</v>
      </c>
    </row>
    <row r="97" spans="1:37">
      <c r="A97" t="s">
        <v>20</v>
      </c>
      <c r="B97">
        <v>31.086814889999999</v>
      </c>
      <c r="C97">
        <v>0.90822513100000002</v>
      </c>
      <c r="D97">
        <v>1.7325166919999999</v>
      </c>
      <c r="E97">
        <v>1.6124774000000001E-2</v>
      </c>
      <c r="F97">
        <v>1.7182624909999999</v>
      </c>
      <c r="G97">
        <v>1.7734890000000001E-3</v>
      </c>
      <c r="H97">
        <v>-1.4254202000000001E-2</v>
      </c>
      <c r="I97">
        <v>1.4708704E-2</v>
      </c>
      <c r="J97">
        <v>31.093488350000001</v>
      </c>
      <c r="K97">
        <v>29.784105199999999</v>
      </c>
      <c r="L97">
        <v>32.352303460000002</v>
      </c>
      <c r="M97">
        <v>31.11736256</v>
      </c>
      <c r="N97">
        <v>1.7390715649999999</v>
      </c>
      <c r="O97">
        <v>1.7443019150000001</v>
      </c>
      <c r="P97">
        <v>1.7047725229999999</v>
      </c>
      <c r="Q97">
        <v>1.741920766</v>
      </c>
      <c r="R97">
        <v>1.7171454420000001</v>
      </c>
      <c r="S97">
        <v>1.7199631019999999</v>
      </c>
      <c r="T97">
        <v>1.715937128</v>
      </c>
      <c r="U97">
        <v>1.720004291</v>
      </c>
      <c r="V97">
        <v>-2.1926122999999999E-2</v>
      </c>
      <c r="W97">
        <v>-2.4338813000000001E-2</v>
      </c>
      <c r="X97">
        <v>1.1164604999999999E-2</v>
      </c>
      <c r="Y97">
        <v>-2.1916475000000001E-2</v>
      </c>
      <c r="Z97">
        <v>74</v>
      </c>
      <c r="AA97">
        <v>51</v>
      </c>
      <c r="AB97">
        <v>6</v>
      </c>
      <c r="AC97">
        <v>89</v>
      </c>
      <c r="AD97">
        <v>20</v>
      </c>
      <c r="AE97">
        <v>10</v>
      </c>
      <c r="AF97">
        <v>4.4400000000000004</v>
      </c>
      <c r="AG97">
        <v>2.04</v>
      </c>
      <c r="AH97">
        <v>8.5800000000000001E-2</v>
      </c>
      <c r="AI97">
        <v>0.68102799999999997</v>
      </c>
      <c r="AJ97">
        <v>1.7520000000000001E-2</v>
      </c>
      <c r="AK97">
        <v>7.264348</v>
      </c>
    </row>
    <row r="98" spans="1:37">
      <c r="A98" t="s">
        <v>20</v>
      </c>
      <c r="B98">
        <v>56.321188679999999</v>
      </c>
      <c r="C98">
        <v>8.1344165949999994</v>
      </c>
      <c r="D98">
        <v>1.7576016880000001</v>
      </c>
      <c r="E98">
        <v>6.1001299999999996E-3</v>
      </c>
      <c r="F98">
        <v>1.7299388259999999</v>
      </c>
      <c r="G98">
        <v>2.0375520000000002E-3</v>
      </c>
      <c r="H98">
        <v>-2.7662861E-2</v>
      </c>
      <c r="I98">
        <v>4.062637E-3</v>
      </c>
      <c r="J98">
        <v>50.130971209999998</v>
      </c>
      <c r="K98">
        <v>51.019035619999997</v>
      </c>
      <c r="L98">
        <v>70.868890010000001</v>
      </c>
      <c r="M98">
        <v>67.813559220000002</v>
      </c>
      <c r="N98">
        <v>1.7618949070000001</v>
      </c>
      <c r="O98">
        <v>1.761935324</v>
      </c>
      <c r="P98">
        <v>1.752923375</v>
      </c>
      <c r="Q98">
        <v>1.748974832</v>
      </c>
      <c r="R98">
        <v>1.7313572930000001</v>
      </c>
      <c r="S98">
        <v>1.731401779</v>
      </c>
      <c r="T98">
        <v>1.7285836139999999</v>
      </c>
      <c r="U98">
        <v>1.727057407</v>
      </c>
      <c r="V98">
        <v>-3.0537614000000001E-2</v>
      </c>
      <c r="W98">
        <v>-3.0533544999999999E-2</v>
      </c>
      <c r="X98">
        <v>-2.4339761000000001E-2</v>
      </c>
      <c r="Y98">
        <v>-2.1917425000000001E-2</v>
      </c>
      <c r="Z98">
        <v>6</v>
      </c>
      <c r="AA98">
        <v>48</v>
      </c>
      <c r="AB98">
        <v>17</v>
      </c>
      <c r="AC98">
        <v>57</v>
      </c>
      <c r="AD98">
        <v>18</v>
      </c>
      <c r="AE98">
        <v>104</v>
      </c>
      <c r="AF98">
        <v>0.36</v>
      </c>
      <c r="AG98">
        <v>1.92</v>
      </c>
      <c r="AH98">
        <v>0.24310000000000001</v>
      </c>
      <c r="AI98">
        <v>0.436164</v>
      </c>
      <c r="AJ98">
        <v>1.5768000000000001E-2</v>
      </c>
      <c r="AK98">
        <v>2.9750320000000001</v>
      </c>
    </row>
    <row r="99" spans="1:37">
      <c r="A99" t="s">
        <v>20</v>
      </c>
      <c r="B99">
        <v>20.84684652</v>
      </c>
      <c r="C99">
        <v>0.23800280400000001</v>
      </c>
      <c r="D99">
        <v>2.6884560880000001</v>
      </c>
      <c r="E99">
        <v>8.1563864999999999E-2</v>
      </c>
      <c r="F99">
        <v>2.6486944540000001</v>
      </c>
      <c r="G99">
        <v>8.1280543999999996E-2</v>
      </c>
      <c r="H99">
        <v>-3.9761633999999997E-2</v>
      </c>
      <c r="I99">
        <v>6.3447500000000001E-4</v>
      </c>
      <c r="J99">
        <v>20.83229051</v>
      </c>
      <c r="K99">
        <v>20.652134530000001</v>
      </c>
      <c r="L99">
        <v>21.2400634</v>
      </c>
      <c r="M99">
        <v>20.662897650000001</v>
      </c>
      <c r="N99">
        <v>2.8250015799999999</v>
      </c>
      <c r="O99">
        <v>2.6290853709999999</v>
      </c>
      <c r="P99">
        <v>2.6769161540000002</v>
      </c>
      <c r="Q99">
        <v>2.6228212449999999</v>
      </c>
      <c r="R99">
        <v>2.7846318110000001</v>
      </c>
      <c r="S99">
        <v>2.5886634819999998</v>
      </c>
      <c r="T99">
        <v>2.6377832149999998</v>
      </c>
      <c r="U99">
        <v>2.5836993060000002</v>
      </c>
      <c r="V99">
        <v>-4.0369769E-2</v>
      </c>
      <c r="W99">
        <v>-4.0421889000000003E-2</v>
      </c>
      <c r="X99">
        <v>-3.9132938999999999E-2</v>
      </c>
      <c r="Y99">
        <v>-3.9121939000000001E-2</v>
      </c>
      <c r="Z99">
        <v>0</v>
      </c>
      <c r="AA99">
        <v>0</v>
      </c>
      <c r="AB99">
        <v>198</v>
      </c>
      <c r="AC99">
        <v>13</v>
      </c>
      <c r="AD99">
        <v>26</v>
      </c>
      <c r="AE99">
        <v>13</v>
      </c>
      <c r="AF99">
        <v>0</v>
      </c>
      <c r="AG99">
        <v>0</v>
      </c>
      <c r="AH99">
        <v>2.8313999999999999</v>
      </c>
      <c r="AI99">
        <v>9.9475999999999995E-2</v>
      </c>
      <c r="AJ99">
        <v>2.2776000000000001E-2</v>
      </c>
      <c r="AK99">
        <v>2.9536519999999999</v>
      </c>
    </row>
    <row r="100" spans="1:37">
      <c r="A100" t="s">
        <v>20</v>
      </c>
      <c r="B100">
        <v>24.137861699999998</v>
      </c>
      <c r="C100">
        <v>1.3061056520000001</v>
      </c>
      <c r="D100">
        <v>1.7000126550000001</v>
      </c>
      <c r="E100">
        <v>1.339027E-3</v>
      </c>
      <c r="F100">
        <v>1.6870430729999999</v>
      </c>
      <c r="G100">
        <v>1.7976419999999999E-3</v>
      </c>
      <c r="H100">
        <v>-1.2969582E-2</v>
      </c>
      <c r="I100">
        <v>1.0041360000000001E-3</v>
      </c>
      <c r="J100">
        <v>21.907343059999999</v>
      </c>
      <c r="K100">
        <v>24.716021019999999</v>
      </c>
      <c r="L100">
        <v>24.69107558</v>
      </c>
      <c r="M100">
        <v>25.237007139999999</v>
      </c>
      <c r="N100">
        <v>1.7017214329999999</v>
      </c>
      <c r="O100">
        <v>1.6996412380000001</v>
      </c>
      <c r="P100">
        <v>1.6980751489999999</v>
      </c>
      <c r="Q100">
        <v>1.7006127980000001</v>
      </c>
      <c r="R100">
        <v>1.6896566660000001</v>
      </c>
      <c r="S100">
        <v>1.687577214</v>
      </c>
      <c r="T100">
        <v>1.6848150770000001</v>
      </c>
      <c r="U100">
        <v>1.6861233330000001</v>
      </c>
      <c r="V100">
        <v>-1.2064767000000001E-2</v>
      </c>
      <c r="W100">
        <v>-1.2064024E-2</v>
      </c>
      <c r="X100">
        <v>-1.3260071999999999E-2</v>
      </c>
      <c r="Y100">
        <v>-1.4489465E-2</v>
      </c>
      <c r="Z100">
        <v>54</v>
      </c>
      <c r="AA100">
        <v>140</v>
      </c>
      <c r="AB100">
        <v>11</v>
      </c>
      <c r="AC100">
        <v>30</v>
      </c>
      <c r="AD100">
        <v>5</v>
      </c>
      <c r="AE100">
        <v>10</v>
      </c>
      <c r="AF100">
        <v>3.24</v>
      </c>
      <c r="AG100">
        <v>5.6</v>
      </c>
      <c r="AH100">
        <v>0.1573</v>
      </c>
      <c r="AI100">
        <v>0.22955999999999999</v>
      </c>
      <c r="AJ100">
        <v>4.3800000000000002E-3</v>
      </c>
      <c r="AK100">
        <v>9.2312399999999997</v>
      </c>
    </row>
    <row r="101" spans="1:37">
      <c r="A101" t="s">
        <v>20</v>
      </c>
      <c r="B101">
        <v>33.94751651</v>
      </c>
      <c r="C101">
        <v>1.3286266680000001</v>
      </c>
      <c r="D101">
        <v>1.7372533189999999</v>
      </c>
      <c r="E101">
        <v>2.6972620000000002E-3</v>
      </c>
      <c r="F101">
        <v>1.7174824710000001</v>
      </c>
      <c r="G101">
        <v>1.520911E-3</v>
      </c>
      <c r="H101">
        <v>-1.9770848000000001E-2</v>
      </c>
      <c r="I101">
        <v>2.1778779999999998E-3</v>
      </c>
      <c r="J101">
        <v>35.841541659999997</v>
      </c>
      <c r="K101">
        <v>32.914099980000003</v>
      </c>
      <c r="L101">
        <v>34.526021069999999</v>
      </c>
      <c r="M101">
        <v>32.508403319999999</v>
      </c>
      <c r="N101">
        <v>1.7328720070000001</v>
      </c>
      <c r="O101">
        <v>1.7381166649999999</v>
      </c>
      <c r="P101">
        <v>1.737793371</v>
      </c>
      <c r="Q101">
        <v>1.740231233</v>
      </c>
      <c r="R101">
        <v>1.7158436100000001</v>
      </c>
      <c r="S101">
        <v>1.716219433</v>
      </c>
      <c r="T101">
        <v>1.719550285</v>
      </c>
      <c r="U101">
        <v>1.7183165549999999</v>
      </c>
      <c r="V101">
        <v>-1.7028397000000001E-2</v>
      </c>
      <c r="W101">
        <v>-2.1897231999999999E-2</v>
      </c>
      <c r="X101">
        <v>-1.8243085999999999E-2</v>
      </c>
      <c r="Y101">
        <v>-2.1914678E-2</v>
      </c>
      <c r="Z101">
        <v>98</v>
      </c>
      <c r="AA101">
        <v>55</v>
      </c>
      <c r="AB101">
        <v>12</v>
      </c>
      <c r="AC101">
        <v>32</v>
      </c>
      <c r="AD101">
        <v>26</v>
      </c>
      <c r="AE101">
        <v>27</v>
      </c>
      <c r="AF101">
        <v>5.88</v>
      </c>
      <c r="AG101">
        <v>2.2000000000000002</v>
      </c>
      <c r="AH101">
        <v>0.1716</v>
      </c>
      <c r="AI101">
        <v>0.244864</v>
      </c>
      <c r="AJ101">
        <v>2.2776000000000001E-2</v>
      </c>
      <c r="AK101">
        <v>8.5192399999999999</v>
      </c>
    </row>
    <row r="102" spans="1:37">
      <c r="A102" t="s">
        <v>20</v>
      </c>
      <c r="B102">
        <v>9.1458248579999992</v>
      </c>
      <c r="C102">
        <v>3.4621172999999998E-2</v>
      </c>
      <c r="D102">
        <v>2.6614088460000001</v>
      </c>
      <c r="E102">
        <v>4.7335060000000002E-3</v>
      </c>
      <c r="F102">
        <v>2.5525058899999999</v>
      </c>
      <c r="G102">
        <v>2.1454989999999999E-3</v>
      </c>
      <c r="H102">
        <v>-0.108902956</v>
      </c>
      <c r="I102">
        <v>4.020053E-3</v>
      </c>
      <c r="J102">
        <v>9.1804582159999999</v>
      </c>
      <c r="K102">
        <v>9.1528604520000005</v>
      </c>
      <c r="L102">
        <v>9.0884022509999998</v>
      </c>
      <c r="M102">
        <v>9.1615785130000003</v>
      </c>
      <c r="N102">
        <v>2.6694079830000002</v>
      </c>
      <c r="O102">
        <v>2.6570476759999999</v>
      </c>
      <c r="P102">
        <v>2.659611366</v>
      </c>
      <c r="Q102">
        <v>2.659568358</v>
      </c>
      <c r="R102">
        <v>2.553753479</v>
      </c>
      <c r="S102">
        <v>2.548789975</v>
      </c>
      <c r="T102">
        <v>2.553770417</v>
      </c>
      <c r="U102">
        <v>2.5537096880000001</v>
      </c>
      <c r="V102">
        <v>-0.11565450400000001</v>
      </c>
      <c r="W102">
        <v>-0.108257701</v>
      </c>
      <c r="X102">
        <v>-0.105840949</v>
      </c>
      <c r="Y102">
        <v>-0.10585867</v>
      </c>
      <c r="Z102">
        <v>0</v>
      </c>
      <c r="AA102">
        <v>0</v>
      </c>
      <c r="AB102">
        <v>21</v>
      </c>
      <c r="AC102">
        <v>0</v>
      </c>
      <c r="AD102">
        <v>196</v>
      </c>
      <c r="AE102">
        <v>33</v>
      </c>
      <c r="AF102">
        <v>0</v>
      </c>
      <c r="AG102">
        <v>0</v>
      </c>
      <c r="AH102">
        <v>0.30030000000000001</v>
      </c>
      <c r="AI102">
        <v>0</v>
      </c>
      <c r="AJ102">
        <v>0.17169599999999999</v>
      </c>
      <c r="AK102">
        <v>0.47199600000000003</v>
      </c>
    </row>
    <row r="103" spans="1:37">
      <c r="A103" t="s">
        <v>20</v>
      </c>
      <c r="B103">
        <v>46.480183500000003</v>
      </c>
      <c r="C103">
        <v>2.127796472</v>
      </c>
      <c r="D103">
        <v>1.7333364950000001</v>
      </c>
      <c r="E103">
        <v>1.4320812E-2</v>
      </c>
      <c r="F103">
        <v>1.720916262</v>
      </c>
      <c r="G103">
        <v>9.4084599999999996E-4</v>
      </c>
      <c r="H103">
        <v>-1.2420232999999999E-2</v>
      </c>
      <c r="I103">
        <v>1.3674086E-2</v>
      </c>
      <c r="J103">
        <v>49.224930399999998</v>
      </c>
      <c r="K103">
        <v>44.154372100000003</v>
      </c>
      <c r="L103">
        <v>47.864341109999998</v>
      </c>
      <c r="M103">
        <v>44.677090380000003</v>
      </c>
      <c r="N103">
        <v>1.708741676</v>
      </c>
      <c r="O103">
        <v>1.742993282</v>
      </c>
      <c r="P103">
        <v>1.7385020840000001</v>
      </c>
      <c r="Q103">
        <v>1.7431089390000001</v>
      </c>
      <c r="R103">
        <v>1.7198938699999999</v>
      </c>
      <c r="S103">
        <v>1.7223310220000001</v>
      </c>
      <c r="T103">
        <v>1.720263484</v>
      </c>
      <c r="U103">
        <v>1.721176671</v>
      </c>
      <c r="V103">
        <v>1.1152194000000001E-2</v>
      </c>
      <c r="W103">
        <v>-2.0662259999999998E-2</v>
      </c>
      <c r="X103">
        <v>-1.8238600000000001E-2</v>
      </c>
      <c r="Y103">
        <v>-2.1932268000000001E-2</v>
      </c>
      <c r="Z103">
        <v>0</v>
      </c>
      <c r="AA103">
        <v>63</v>
      </c>
      <c r="AB103">
        <v>63</v>
      </c>
      <c r="AC103">
        <v>27</v>
      </c>
      <c r="AD103">
        <v>34</v>
      </c>
      <c r="AE103">
        <v>63</v>
      </c>
      <c r="AF103">
        <v>0</v>
      </c>
      <c r="AG103">
        <v>2.52</v>
      </c>
      <c r="AH103">
        <v>0.90090000000000003</v>
      </c>
      <c r="AI103">
        <v>0.20660400000000001</v>
      </c>
      <c r="AJ103">
        <v>2.9784000000000001E-2</v>
      </c>
      <c r="AK103">
        <v>3.6572879999999999</v>
      </c>
    </row>
    <row r="104" spans="1:37">
      <c r="A104" t="s">
        <v>20</v>
      </c>
      <c r="B104">
        <v>34.14802967</v>
      </c>
      <c r="C104">
        <v>0.25092257800000001</v>
      </c>
      <c r="D104">
        <v>1.6906725579999999</v>
      </c>
      <c r="E104">
        <v>1.1038179999999999E-3</v>
      </c>
      <c r="F104">
        <v>1.7008608839999999</v>
      </c>
      <c r="G104">
        <v>6.5205600000000003E-4</v>
      </c>
      <c r="H104">
        <v>1.0188325999999999E-2</v>
      </c>
      <c r="I104">
        <v>5.4354299999999996E-4</v>
      </c>
      <c r="J104">
        <v>33.902426570000003</v>
      </c>
      <c r="K104">
        <v>33.986976540000001</v>
      </c>
      <c r="L104">
        <v>34.554956560000001</v>
      </c>
      <c r="M104">
        <v>34.147759010000001</v>
      </c>
      <c r="N104">
        <v>1.690854157</v>
      </c>
      <c r="O104">
        <v>1.692042668</v>
      </c>
      <c r="P104">
        <v>1.6889587340000001</v>
      </c>
      <c r="Q104">
        <v>1.690834671</v>
      </c>
      <c r="R104">
        <v>1.7007178060000001</v>
      </c>
      <c r="S104">
        <v>1.7018946779999999</v>
      </c>
      <c r="T104">
        <v>1.700087793</v>
      </c>
      <c r="U104">
        <v>1.7007432570000001</v>
      </c>
      <c r="V104">
        <v>9.8636490000000004E-3</v>
      </c>
      <c r="W104">
        <v>9.8520099999999996E-3</v>
      </c>
      <c r="X104">
        <v>1.1129059E-2</v>
      </c>
      <c r="Y104">
        <v>9.9085860000000005E-3</v>
      </c>
      <c r="Z104">
        <v>57</v>
      </c>
      <c r="AA104">
        <v>148</v>
      </c>
      <c r="AB104">
        <v>5</v>
      </c>
      <c r="AC104">
        <v>0</v>
      </c>
      <c r="AD104">
        <v>21</v>
      </c>
      <c r="AE104">
        <v>19</v>
      </c>
      <c r="AF104">
        <v>3.42</v>
      </c>
      <c r="AG104">
        <v>5.92</v>
      </c>
      <c r="AH104">
        <v>7.1499999999999994E-2</v>
      </c>
      <c r="AI104">
        <v>0</v>
      </c>
      <c r="AJ104">
        <v>1.8395999999999999E-2</v>
      </c>
      <c r="AK104">
        <v>9.4298959999999994</v>
      </c>
    </row>
    <row r="105" spans="1:37">
      <c r="A105" t="s">
        <v>20</v>
      </c>
      <c r="B105">
        <v>52.805297699999997</v>
      </c>
      <c r="C105">
        <v>1.1465519120000001</v>
      </c>
      <c r="D105">
        <v>1.8276963239999999</v>
      </c>
      <c r="E105">
        <v>2.6709699999999999E-3</v>
      </c>
      <c r="F105">
        <v>1.7885701249999999</v>
      </c>
      <c r="G105">
        <v>2.3554639999999998E-3</v>
      </c>
      <c r="H105">
        <v>-3.9126199E-2</v>
      </c>
      <c r="I105">
        <v>1.047514E-3</v>
      </c>
      <c r="J105">
        <v>51.185064240000003</v>
      </c>
      <c r="K105">
        <v>53.670228440000002</v>
      </c>
      <c r="L105">
        <v>53.560600430000001</v>
      </c>
      <c r="M105">
        <v>34.688853109999997</v>
      </c>
      <c r="N105">
        <v>1.8310104700000001</v>
      </c>
      <c r="O105">
        <v>1.8244697139999999</v>
      </c>
      <c r="P105">
        <v>1.8276087889999999</v>
      </c>
      <c r="Q105">
        <v>1.840753605</v>
      </c>
      <c r="R105">
        <v>1.7918847739999999</v>
      </c>
      <c r="S105">
        <v>1.7866261999999999</v>
      </c>
      <c r="T105">
        <v>1.7871994010000001</v>
      </c>
      <c r="U105">
        <v>1.8003193909999999</v>
      </c>
      <c r="V105">
        <v>-3.9125696000000001E-2</v>
      </c>
      <c r="W105">
        <v>-3.7843514000000002E-2</v>
      </c>
      <c r="X105">
        <v>-4.0409387999999997E-2</v>
      </c>
      <c r="Y105">
        <v>-4.0434214000000003E-2</v>
      </c>
      <c r="Z105">
        <v>14</v>
      </c>
      <c r="AA105">
        <v>16</v>
      </c>
      <c r="AB105">
        <v>13</v>
      </c>
      <c r="AC105">
        <v>83</v>
      </c>
      <c r="AD105">
        <v>119</v>
      </c>
      <c r="AE105">
        <v>5</v>
      </c>
      <c r="AF105">
        <v>0.84</v>
      </c>
      <c r="AG105">
        <v>0.64</v>
      </c>
      <c r="AH105">
        <v>0.18590000000000001</v>
      </c>
      <c r="AI105">
        <v>0.63511600000000001</v>
      </c>
      <c r="AJ105">
        <v>0.104244</v>
      </c>
      <c r="AK105">
        <v>2.4052600000000002</v>
      </c>
    </row>
    <row r="106" spans="1:37">
      <c r="A106" t="s">
        <v>20</v>
      </c>
      <c r="B106">
        <v>37.658983560000003</v>
      </c>
      <c r="C106">
        <v>3.4065629839999998</v>
      </c>
      <c r="D106">
        <v>1.885031833</v>
      </c>
      <c r="E106">
        <v>5.6525330000000004E-3</v>
      </c>
      <c r="F106">
        <v>1.8077089959999999</v>
      </c>
      <c r="G106">
        <v>3.436751E-3</v>
      </c>
      <c r="H106">
        <v>-7.7322837000000005E-2</v>
      </c>
      <c r="I106">
        <v>2.3765309999999999E-3</v>
      </c>
      <c r="J106">
        <v>37.498632460000003</v>
      </c>
      <c r="K106">
        <v>37.039164210000003</v>
      </c>
      <c r="L106">
        <v>33.268667960000002</v>
      </c>
      <c r="M106">
        <v>42.829469600000003</v>
      </c>
      <c r="N106">
        <v>1.87877045</v>
      </c>
      <c r="O106">
        <v>1.882699176</v>
      </c>
      <c r="P106">
        <v>1.894136636</v>
      </c>
      <c r="Q106">
        <v>1.8845210699999999</v>
      </c>
      <c r="R106">
        <v>1.80420873</v>
      </c>
      <c r="S106">
        <v>1.8069467109999999</v>
      </c>
      <c r="T106">
        <v>1.813398882</v>
      </c>
      <c r="U106">
        <v>1.8062816610000001</v>
      </c>
      <c r="V106">
        <v>-7.4561719999999998E-2</v>
      </c>
      <c r="W106">
        <v>-7.5752465000000005E-2</v>
      </c>
      <c r="X106">
        <v>-8.0737753999999995E-2</v>
      </c>
      <c r="Y106">
        <v>-7.8239408999999996E-2</v>
      </c>
      <c r="Z106">
        <v>6</v>
      </c>
      <c r="AA106">
        <v>11</v>
      </c>
      <c r="AB106">
        <v>24</v>
      </c>
      <c r="AC106">
        <v>17</v>
      </c>
      <c r="AD106">
        <v>119</v>
      </c>
      <c r="AE106">
        <v>73</v>
      </c>
      <c r="AF106">
        <v>0.36</v>
      </c>
      <c r="AG106">
        <v>0.44</v>
      </c>
      <c r="AH106">
        <v>0.34320000000000001</v>
      </c>
      <c r="AI106">
        <v>0.13008400000000001</v>
      </c>
      <c r="AJ106">
        <v>0.104244</v>
      </c>
      <c r="AK106">
        <v>1.3775280000000001</v>
      </c>
    </row>
    <row r="107" spans="1:37">
      <c r="A107" t="s">
        <v>20</v>
      </c>
      <c r="B107">
        <v>23.80575773</v>
      </c>
      <c r="C107">
        <v>0.47279727199999999</v>
      </c>
      <c r="D107">
        <v>2.657793458</v>
      </c>
      <c r="E107">
        <v>0.100065389</v>
      </c>
      <c r="F107">
        <v>2.5995263560000001</v>
      </c>
      <c r="G107">
        <v>0.101282436</v>
      </c>
      <c r="H107">
        <v>-5.8267103000000001E-2</v>
      </c>
      <c r="I107">
        <v>2.1978129999999999E-3</v>
      </c>
      <c r="J107">
        <v>23.024173350000002</v>
      </c>
      <c r="K107">
        <v>23.992558590000002</v>
      </c>
      <c r="L107">
        <v>23.91407727</v>
      </c>
      <c r="M107">
        <v>24.292221720000001</v>
      </c>
      <c r="N107">
        <v>2.8310314679999999</v>
      </c>
      <c r="O107">
        <v>2.604150497</v>
      </c>
      <c r="P107">
        <v>2.6004316570000001</v>
      </c>
      <c r="Q107">
        <v>2.595560211</v>
      </c>
      <c r="R107">
        <v>2.7749374439999999</v>
      </c>
      <c r="S107">
        <v>2.543127825</v>
      </c>
      <c r="T107">
        <v>2.540606956</v>
      </c>
      <c r="U107">
        <v>2.5394331970000001</v>
      </c>
      <c r="V107">
        <v>-5.6094023999999999E-2</v>
      </c>
      <c r="W107">
        <v>-6.1022672E-2</v>
      </c>
      <c r="X107">
        <v>-5.9824701000000001E-2</v>
      </c>
      <c r="Y107">
        <v>-5.6127014000000003E-2</v>
      </c>
      <c r="Z107">
        <v>0</v>
      </c>
      <c r="AA107">
        <v>0</v>
      </c>
      <c r="AB107">
        <v>88</v>
      </c>
      <c r="AC107">
        <v>27</v>
      </c>
      <c r="AD107">
        <v>65</v>
      </c>
      <c r="AE107">
        <v>70</v>
      </c>
      <c r="AF107">
        <v>0</v>
      </c>
      <c r="AG107">
        <v>0</v>
      </c>
      <c r="AH107">
        <v>1.2584</v>
      </c>
      <c r="AI107">
        <v>0.20660400000000001</v>
      </c>
      <c r="AJ107">
        <v>5.6939999999999998E-2</v>
      </c>
      <c r="AK107">
        <v>1.521944</v>
      </c>
    </row>
    <row r="108" spans="1:37">
      <c r="A108" t="s">
        <v>20</v>
      </c>
      <c r="B108">
        <v>33.62275794</v>
      </c>
      <c r="C108">
        <v>0.446005965</v>
      </c>
      <c r="D108">
        <v>1.794494762</v>
      </c>
      <c r="E108">
        <v>2.749306E-3</v>
      </c>
      <c r="F108">
        <v>1.7722974570000001</v>
      </c>
      <c r="G108">
        <v>2.4101090000000001E-3</v>
      </c>
      <c r="H108">
        <v>-2.2197305000000001E-2</v>
      </c>
      <c r="I108">
        <v>5.2303799999999998E-4</v>
      </c>
      <c r="J108">
        <v>32.869574700000001</v>
      </c>
      <c r="K108">
        <v>33.85447971</v>
      </c>
      <c r="L108">
        <v>33.744304839999998</v>
      </c>
      <c r="M108">
        <v>34.02267251</v>
      </c>
      <c r="N108">
        <v>1.7978163579999999</v>
      </c>
      <c r="O108">
        <v>1.7916551279999999</v>
      </c>
      <c r="P108">
        <v>1.791906223</v>
      </c>
      <c r="Q108">
        <v>1.79660134</v>
      </c>
      <c r="R108">
        <v>1.7747131810000001</v>
      </c>
      <c r="S108">
        <v>1.769758648</v>
      </c>
      <c r="T108">
        <v>1.770019593</v>
      </c>
      <c r="U108">
        <v>1.774698406</v>
      </c>
      <c r="V108">
        <v>-2.3103176999999999E-2</v>
      </c>
      <c r="W108">
        <v>-2.1896479999999999E-2</v>
      </c>
      <c r="X108">
        <v>-2.1886630000000001E-2</v>
      </c>
      <c r="Y108">
        <v>-2.1902933999999999E-2</v>
      </c>
      <c r="Z108">
        <v>40</v>
      </c>
      <c r="AA108">
        <v>18</v>
      </c>
      <c r="AB108">
        <v>0</v>
      </c>
      <c r="AC108">
        <v>139</v>
      </c>
      <c r="AD108">
        <v>18</v>
      </c>
      <c r="AE108">
        <v>35</v>
      </c>
      <c r="AF108">
        <v>2.4</v>
      </c>
      <c r="AG108">
        <v>0.72</v>
      </c>
      <c r="AH108">
        <v>0</v>
      </c>
      <c r="AI108">
        <v>1.063628</v>
      </c>
      <c r="AJ108">
        <v>1.5768000000000001E-2</v>
      </c>
      <c r="AK108">
        <v>4.1993960000000001</v>
      </c>
    </row>
    <row r="109" spans="1:37">
      <c r="A109" t="s">
        <v>20</v>
      </c>
      <c r="B109">
        <v>30.100423169999999</v>
      </c>
      <c r="C109">
        <v>0.617334155</v>
      </c>
      <c r="D109">
        <v>2.1386104769999998</v>
      </c>
      <c r="E109">
        <v>3.8191929999999998E-3</v>
      </c>
      <c r="F109">
        <v>2.1169368419999999</v>
      </c>
      <c r="G109">
        <v>2.6159149999999999E-3</v>
      </c>
      <c r="H109">
        <v>-2.1673635E-2</v>
      </c>
      <c r="I109">
        <v>1.72719E-3</v>
      </c>
      <c r="J109">
        <v>30.82478613</v>
      </c>
      <c r="K109">
        <v>29.20270064</v>
      </c>
      <c r="L109">
        <v>29.888128349999999</v>
      </c>
      <c r="M109">
        <v>30.486077559999998</v>
      </c>
      <c r="N109">
        <v>2.1448840580000001</v>
      </c>
      <c r="O109">
        <v>2.1346734789999999</v>
      </c>
      <c r="P109">
        <v>2.1368268189999999</v>
      </c>
      <c r="Q109">
        <v>2.1380575510000002</v>
      </c>
      <c r="R109">
        <v>2.1205194440000001</v>
      </c>
      <c r="S109">
        <v>2.1139882650000001</v>
      </c>
      <c r="T109">
        <v>2.1149402610000001</v>
      </c>
      <c r="U109">
        <v>2.1182993969999999</v>
      </c>
      <c r="V109">
        <v>-2.4364614E-2</v>
      </c>
      <c r="W109">
        <v>-2.0685214E-2</v>
      </c>
      <c r="X109">
        <v>-2.1886558E-2</v>
      </c>
      <c r="Y109">
        <v>-1.9758154E-2</v>
      </c>
      <c r="Z109">
        <v>34</v>
      </c>
      <c r="AA109">
        <v>0</v>
      </c>
      <c r="AB109">
        <v>123</v>
      </c>
      <c r="AC109">
        <v>0</v>
      </c>
      <c r="AD109">
        <v>82</v>
      </c>
      <c r="AE109">
        <v>11</v>
      </c>
      <c r="AF109">
        <v>2.04</v>
      </c>
      <c r="AG109">
        <v>0</v>
      </c>
      <c r="AH109">
        <v>1.7588999999999999</v>
      </c>
      <c r="AI109">
        <v>0</v>
      </c>
      <c r="AJ109">
        <v>7.1831999999999993E-2</v>
      </c>
      <c r="AK109">
        <v>3.8707319999999998</v>
      </c>
    </row>
    <row r="110" spans="1:37">
      <c r="A110" t="s">
        <v>20</v>
      </c>
      <c r="B110">
        <v>26.716235220000002</v>
      </c>
      <c r="C110">
        <v>3.43789751</v>
      </c>
      <c r="D110">
        <v>1.791340301</v>
      </c>
      <c r="E110">
        <v>7.9933680000000007E-3</v>
      </c>
      <c r="F110">
        <v>1.77149745</v>
      </c>
      <c r="G110">
        <v>4.9305440000000002E-3</v>
      </c>
      <c r="H110">
        <v>-1.9842852000000001E-2</v>
      </c>
      <c r="I110">
        <v>3.488924E-3</v>
      </c>
      <c r="J110">
        <v>22.106470120000001</v>
      </c>
      <c r="K110">
        <v>27.682738799999999</v>
      </c>
      <c r="L110">
        <v>30.35949673</v>
      </c>
      <c r="M110">
        <v>8.8435100000000002E-4</v>
      </c>
      <c r="N110">
        <v>1.780333902</v>
      </c>
      <c r="O110">
        <v>1.7946107259999999</v>
      </c>
      <c r="P110">
        <v>1.7990762760000001</v>
      </c>
      <c r="Q110">
        <v>0</v>
      </c>
      <c r="R110">
        <v>1.7645293399999999</v>
      </c>
      <c r="S110">
        <v>1.775203938</v>
      </c>
      <c r="T110">
        <v>1.7747590710000001</v>
      </c>
      <c r="U110">
        <v>0</v>
      </c>
      <c r="V110">
        <v>-1.5804562000000001E-2</v>
      </c>
      <c r="W110">
        <v>-1.9406788000000001E-2</v>
      </c>
      <c r="X110">
        <v>-2.4317205000000001E-2</v>
      </c>
      <c r="Y110">
        <v>0</v>
      </c>
      <c r="Z110">
        <v>12</v>
      </c>
      <c r="AA110">
        <v>22</v>
      </c>
      <c r="AB110">
        <v>109</v>
      </c>
      <c r="AC110">
        <v>80</v>
      </c>
      <c r="AD110">
        <v>18</v>
      </c>
      <c r="AE110">
        <v>9</v>
      </c>
      <c r="AF110">
        <v>0.72</v>
      </c>
      <c r="AG110">
        <v>0.88</v>
      </c>
      <c r="AH110">
        <v>1.5587</v>
      </c>
      <c r="AI110">
        <v>0.61216000000000004</v>
      </c>
      <c r="AJ110">
        <v>1.5768000000000001E-2</v>
      </c>
      <c r="AK110">
        <v>3.7866279999999999</v>
      </c>
    </row>
    <row r="111" spans="1:37">
      <c r="A111" t="s">
        <v>20</v>
      </c>
      <c r="B111">
        <v>46.728811759999999</v>
      </c>
      <c r="C111">
        <v>2.2496305919999999</v>
      </c>
      <c r="D111">
        <v>1.7997395679999999</v>
      </c>
      <c r="E111">
        <v>1.0057284999999999E-2</v>
      </c>
      <c r="F111">
        <v>1.7858169960000001</v>
      </c>
      <c r="G111">
        <v>8.291072E-3</v>
      </c>
      <c r="H111">
        <v>-1.3922571999999999E-2</v>
      </c>
      <c r="I111">
        <v>2.0537609999999999E-3</v>
      </c>
      <c r="J111">
        <v>44.049750060000001</v>
      </c>
      <c r="K111">
        <v>48.841297359999999</v>
      </c>
      <c r="L111">
        <v>44.957485490000003</v>
      </c>
      <c r="M111">
        <v>49.06671412</v>
      </c>
      <c r="N111">
        <v>1.816878491</v>
      </c>
      <c r="O111">
        <v>1.796048726</v>
      </c>
      <c r="P111">
        <v>1.7911708719999999</v>
      </c>
      <c r="Q111">
        <v>1.794860181</v>
      </c>
      <c r="R111">
        <v>1.7998374530000001</v>
      </c>
      <c r="S111">
        <v>1.7839786209999999</v>
      </c>
      <c r="T111">
        <v>1.7790883420000001</v>
      </c>
      <c r="U111">
        <v>1.7803635680000001</v>
      </c>
      <c r="V111">
        <v>-1.7041038000000001E-2</v>
      </c>
      <c r="W111">
        <v>-1.2070104999999999E-2</v>
      </c>
      <c r="X111">
        <v>-1.2082529999999999E-2</v>
      </c>
      <c r="Y111">
        <v>-1.4496613E-2</v>
      </c>
      <c r="Z111">
        <v>68</v>
      </c>
      <c r="AA111">
        <v>38</v>
      </c>
      <c r="AB111">
        <v>12</v>
      </c>
      <c r="AC111">
        <v>5</v>
      </c>
      <c r="AD111">
        <v>119</v>
      </c>
      <c r="AE111">
        <v>8</v>
      </c>
      <c r="AF111">
        <v>4.08</v>
      </c>
      <c r="AG111">
        <v>1.52</v>
      </c>
      <c r="AH111">
        <v>0.1716</v>
      </c>
      <c r="AI111">
        <v>3.8260000000000002E-2</v>
      </c>
      <c r="AJ111">
        <v>0.104244</v>
      </c>
      <c r="AK111">
        <v>5.914104</v>
      </c>
    </row>
    <row r="112" spans="1:37">
      <c r="A112" t="s">
        <v>20</v>
      </c>
      <c r="B112">
        <v>24.95278291</v>
      </c>
      <c r="C112">
        <v>0.58315758299999998</v>
      </c>
      <c r="D112">
        <v>2.681568511</v>
      </c>
      <c r="E112">
        <v>1.4931207E-2</v>
      </c>
      <c r="F112">
        <v>2.6125763630000001</v>
      </c>
      <c r="G112">
        <v>1.2916384E-2</v>
      </c>
      <c r="H112">
        <v>-6.8992148000000003E-2</v>
      </c>
      <c r="I112">
        <v>2.5231139999999999E-3</v>
      </c>
      <c r="J112">
        <v>24.221249579999999</v>
      </c>
      <c r="K112">
        <v>24.625575000000001</v>
      </c>
      <c r="L112">
        <v>25.201423649999999</v>
      </c>
      <c r="M112">
        <v>25.762883410000001</v>
      </c>
      <c r="N112">
        <v>2.7037039709999999</v>
      </c>
      <c r="O112">
        <v>2.6864768350000001</v>
      </c>
      <c r="P112">
        <v>2.6655960680000002</v>
      </c>
      <c r="Q112">
        <v>2.6704971679999998</v>
      </c>
      <c r="R112">
        <v>2.6328710970000002</v>
      </c>
      <c r="S112">
        <v>2.614426736</v>
      </c>
      <c r="T112">
        <v>2.5996559819999998</v>
      </c>
      <c r="U112">
        <v>2.6033516369999998</v>
      </c>
      <c r="V112">
        <v>-7.0832874000000004E-2</v>
      </c>
      <c r="W112">
        <v>-7.2050099000000006E-2</v>
      </c>
      <c r="X112">
        <v>-6.5940085999999995E-2</v>
      </c>
      <c r="Y112">
        <v>-6.7145530999999994E-2</v>
      </c>
      <c r="Z112">
        <v>0</v>
      </c>
      <c r="AA112">
        <v>0</v>
      </c>
      <c r="AB112">
        <v>93</v>
      </c>
      <c r="AC112">
        <v>7</v>
      </c>
      <c r="AD112">
        <v>69</v>
      </c>
      <c r="AE112">
        <v>81</v>
      </c>
      <c r="AF112">
        <v>0</v>
      </c>
      <c r="AG112">
        <v>0</v>
      </c>
      <c r="AH112">
        <v>1.3299000000000001</v>
      </c>
      <c r="AI112">
        <v>5.3564000000000001E-2</v>
      </c>
      <c r="AJ112">
        <v>6.0443999999999998E-2</v>
      </c>
      <c r="AK112">
        <v>1.443908</v>
      </c>
    </row>
    <row r="113" spans="1:37">
      <c r="A113" t="s">
        <v>20</v>
      </c>
      <c r="B113">
        <v>21.656827539999998</v>
      </c>
      <c r="C113">
        <v>0.81293054300000001</v>
      </c>
      <c r="D113">
        <v>2.6995353030000002</v>
      </c>
      <c r="E113">
        <v>9.3536621E-2</v>
      </c>
      <c r="F113">
        <v>2.658854727</v>
      </c>
      <c r="G113">
        <v>8.8624855000000002E-2</v>
      </c>
      <c r="H113">
        <v>-4.0680576000000003E-2</v>
      </c>
      <c r="I113">
        <v>5.6819790000000002E-3</v>
      </c>
      <c r="J113">
        <v>20.41249552</v>
      </c>
      <c r="K113">
        <v>21.800004980000001</v>
      </c>
      <c r="L113">
        <v>21.723518689999999</v>
      </c>
      <c r="M113">
        <v>22.691290980000002</v>
      </c>
      <c r="N113">
        <v>2.85918122</v>
      </c>
      <c r="O113">
        <v>2.6723104860000002</v>
      </c>
      <c r="P113">
        <v>2.6339226</v>
      </c>
      <c r="Q113">
        <v>2.6327269059999998</v>
      </c>
      <c r="R113">
        <v>2.809223389</v>
      </c>
      <c r="S113">
        <v>2.6378188709999999</v>
      </c>
      <c r="T113">
        <v>2.594792634</v>
      </c>
      <c r="U113">
        <v>2.5935840140000002</v>
      </c>
      <c r="V113">
        <v>-4.9957831000000001E-2</v>
      </c>
      <c r="W113">
        <v>-3.4491615000000003E-2</v>
      </c>
      <c r="X113">
        <v>-3.9129966000000002E-2</v>
      </c>
      <c r="Y113">
        <v>-3.9142891999999999E-2</v>
      </c>
      <c r="Z113">
        <v>0</v>
      </c>
      <c r="AA113">
        <v>0</v>
      </c>
      <c r="AB113">
        <v>188</v>
      </c>
      <c r="AC113">
        <v>11</v>
      </c>
      <c r="AD113">
        <v>11</v>
      </c>
      <c r="AE113">
        <v>40</v>
      </c>
      <c r="AF113">
        <v>0</v>
      </c>
      <c r="AG113">
        <v>0</v>
      </c>
      <c r="AH113">
        <v>2.6884000000000001</v>
      </c>
      <c r="AI113">
        <v>8.4171999999999997E-2</v>
      </c>
      <c r="AJ113">
        <v>9.6360000000000005E-3</v>
      </c>
      <c r="AK113">
        <v>2.7822079999999998</v>
      </c>
    </row>
    <row r="114" spans="1:37">
      <c r="A114" t="s">
        <v>20</v>
      </c>
      <c r="B114">
        <v>30.363149809999999</v>
      </c>
      <c r="C114">
        <v>0.81250605600000003</v>
      </c>
      <c r="D114">
        <v>1.709957414</v>
      </c>
      <c r="E114">
        <v>3.7269339999999999E-3</v>
      </c>
      <c r="F114">
        <v>1.6987718949999999</v>
      </c>
      <c r="G114">
        <v>2.9764980000000002E-3</v>
      </c>
      <c r="H114">
        <v>-1.1185519E-2</v>
      </c>
      <c r="I114">
        <v>1.3319810000000001E-3</v>
      </c>
      <c r="J114">
        <v>29.668892140000001</v>
      </c>
      <c r="K114">
        <v>29.558460100000001</v>
      </c>
      <c r="L114">
        <v>30.672326160000001</v>
      </c>
      <c r="M114">
        <v>31.552920839999999</v>
      </c>
      <c r="N114">
        <v>1.712785703</v>
      </c>
      <c r="O114">
        <v>1.7047323830000001</v>
      </c>
      <c r="P114">
        <v>1.7082072420000001</v>
      </c>
      <c r="Q114">
        <v>1.714104327</v>
      </c>
      <c r="R114">
        <v>1.6994740960000001</v>
      </c>
      <c r="S114">
        <v>1.695099358</v>
      </c>
      <c r="T114">
        <v>1.697337637</v>
      </c>
      <c r="U114">
        <v>1.7031764890000001</v>
      </c>
      <c r="V114">
        <v>-1.3311607E-2</v>
      </c>
      <c r="W114">
        <v>-9.6330249999999999E-3</v>
      </c>
      <c r="X114">
        <v>-1.0869604999999999E-2</v>
      </c>
      <c r="Y114">
        <v>-1.0927838E-2</v>
      </c>
      <c r="Z114">
        <v>30</v>
      </c>
      <c r="AA114">
        <v>136</v>
      </c>
      <c r="AB114">
        <v>16</v>
      </c>
      <c r="AC114">
        <v>19</v>
      </c>
      <c r="AD114">
        <v>28</v>
      </c>
      <c r="AE114">
        <v>21</v>
      </c>
      <c r="AF114">
        <v>1.8</v>
      </c>
      <c r="AG114">
        <v>5.44</v>
      </c>
      <c r="AH114">
        <v>0.2288</v>
      </c>
      <c r="AI114">
        <v>0.14538799999999999</v>
      </c>
      <c r="AJ114">
        <v>2.4528000000000001E-2</v>
      </c>
      <c r="AK114">
        <v>7.6387159999999996</v>
      </c>
    </row>
    <row r="115" spans="1:37">
      <c r="A115" t="s">
        <v>20</v>
      </c>
      <c r="B115">
        <v>34.691866949999998</v>
      </c>
      <c r="C115">
        <v>1.6593097489999999</v>
      </c>
      <c r="D115">
        <v>1.719416338</v>
      </c>
      <c r="E115">
        <v>1.2475195999999999E-2</v>
      </c>
      <c r="F115">
        <v>1.710057178</v>
      </c>
      <c r="G115">
        <v>2.1642440000000001E-3</v>
      </c>
      <c r="H115">
        <v>-9.35916E-3</v>
      </c>
      <c r="I115">
        <v>1.1412113999999999E-2</v>
      </c>
      <c r="J115">
        <v>31.962252450000001</v>
      </c>
      <c r="K115">
        <v>35.884034829999997</v>
      </c>
      <c r="L115">
        <v>36.15315966</v>
      </c>
      <c r="M115">
        <v>34.768020839999998</v>
      </c>
      <c r="N115">
        <v>1.7273910809999999</v>
      </c>
      <c r="O115">
        <v>1.6979901930000001</v>
      </c>
      <c r="P115">
        <v>1.723976881</v>
      </c>
      <c r="Q115">
        <v>1.728307195</v>
      </c>
      <c r="R115">
        <v>1.7079344439999999</v>
      </c>
      <c r="S115">
        <v>1.7078749129999999</v>
      </c>
      <c r="T115">
        <v>1.711892636</v>
      </c>
      <c r="U115">
        <v>1.7125267179999999</v>
      </c>
      <c r="V115">
        <v>-1.9456636999999999E-2</v>
      </c>
      <c r="W115">
        <v>9.8847199999999996E-3</v>
      </c>
      <c r="X115">
        <v>-1.2084245E-2</v>
      </c>
      <c r="Y115">
        <v>-1.5780477000000001E-2</v>
      </c>
      <c r="Z115">
        <v>24</v>
      </c>
      <c r="AA115">
        <v>112</v>
      </c>
      <c r="AB115">
        <v>10</v>
      </c>
      <c r="AC115">
        <v>66</v>
      </c>
      <c r="AD115">
        <v>11</v>
      </c>
      <c r="AE115">
        <v>27</v>
      </c>
      <c r="AF115">
        <v>1.44</v>
      </c>
      <c r="AG115">
        <v>4.4800000000000004</v>
      </c>
      <c r="AH115">
        <v>0.14299999999999999</v>
      </c>
      <c r="AI115">
        <v>0.50503200000000004</v>
      </c>
      <c r="AJ115">
        <v>9.6360000000000005E-3</v>
      </c>
      <c r="AK115">
        <v>6.5776680000000001</v>
      </c>
    </row>
    <row r="116" spans="1:37">
      <c r="A116" t="s">
        <v>20</v>
      </c>
      <c r="B116">
        <v>46.424357469999997</v>
      </c>
      <c r="C116">
        <v>1.545467382</v>
      </c>
      <c r="D116">
        <v>2.1014653719999998</v>
      </c>
      <c r="E116">
        <v>3.684568E-3</v>
      </c>
      <c r="F116">
        <v>2.0841735890000002</v>
      </c>
      <c r="G116">
        <v>4.9806599999999996E-3</v>
      </c>
      <c r="H116">
        <v>-1.7291783000000002E-2</v>
      </c>
      <c r="I116">
        <v>2.224948E-3</v>
      </c>
      <c r="J116">
        <v>45.032027569999997</v>
      </c>
      <c r="K116">
        <v>45.602626989999997</v>
      </c>
      <c r="L116">
        <v>46.033218359999999</v>
      </c>
      <c r="M116">
        <v>49.029556960000001</v>
      </c>
      <c r="N116">
        <v>2.1072572900000002</v>
      </c>
      <c r="O116">
        <v>2.098150398</v>
      </c>
      <c r="P116">
        <v>2.0983964400000001</v>
      </c>
      <c r="Q116">
        <v>2.1020573589999998</v>
      </c>
      <c r="R116">
        <v>2.0927987670000001</v>
      </c>
      <c r="S116">
        <v>2.0811442709999999</v>
      </c>
      <c r="T116">
        <v>2.0813930100000002</v>
      </c>
      <c r="U116">
        <v>2.0813583090000001</v>
      </c>
      <c r="V116">
        <v>-1.4458522999999999E-2</v>
      </c>
      <c r="W116">
        <v>-1.7006126999999999E-2</v>
      </c>
      <c r="X116">
        <v>-1.700343E-2</v>
      </c>
      <c r="Y116">
        <v>-2.069905E-2</v>
      </c>
      <c r="Z116">
        <v>103</v>
      </c>
      <c r="AA116">
        <v>0</v>
      </c>
      <c r="AB116">
        <v>23</v>
      </c>
      <c r="AC116">
        <v>0</v>
      </c>
      <c r="AD116">
        <v>17</v>
      </c>
      <c r="AE116">
        <v>107</v>
      </c>
      <c r="AF116">
        <v>6.18</v>
      </c>
      <c r="AG116">
        <v>0</v>
      </c>
      <c r="AH116">
        <v>0.32890000000000003</v>
      </c>
      <c r="AI116">
        <v>0</v>
      </c>
      <c r="AJ116">
        <v>1.4892000000000001E-2</v>
      </c>
      <c r="AK116">
        <v>6.5237920000000003</v>
      </c>
    </row>
    <row r="117" spans="1:37">
      <c r="A117" t="s">
        <v>20</v>
      </c>
      <c r="B117">
        <v>22.639483980000001</v>
      </c>
      <c r="C117">
        <v>0.58731961700000002</v>
      </c>
      <c r="D117">
        <v>1.592761275</v>
      </c>
      <c r="E117">
        <v>8.7067500000000006E-2</v>
      </c>
      <c r="F117">
        <v>1.558162493</v>
      </c>
      <c r="G117">
        <v>8.5879918E-2</v>
      </c>
      <c r="H117">
        <v>-3.4598782000000002E-2</v>
      </c>
      <c r="I117">
        <v>1.1878220000000001E-3</v>
      </c>
      <c r="J117">
        <v>21.809029030000001</v>
      </c>
      <c r="K117">
        <v>23.04148515</v>
      </c>
      <c r="L117">
        <v>23.067937749999999</v>
      </c>
      <c r="M117">
        <v>6.4242601539999997</v>
      </c>
      <c r="N117">
        <v>1.469670901</v>
      </c>
      <c r="O117">
        <v>1.651532636</v>
      </c>
      <c r="P117">
        <v>1.657080288</v>
      </c>
      <c r="Q117">
        <v>1.880712497</v>
      </c>
      <c r="R117">
        <v>1.436751922</v>
      </c>
      <c r="S117">
        <v>1.6161027459999999</v>
      </c>
      <c r="T117">
        <v>1.6216328120000001</v>
      </c>
      <c r="U117">
        <v>1.833323839</v>
      </c>
      <c r="V117">
        <v>-3.2918979000000001E-2</v>
      </c>
      <c r="W117">
        <v>-3.5429889999999999E-2</v>
      </c>
      <c r="X117">
        <v>-3.5447475999999999E-2</v>
      </c>
      <c r="Y117">
        <v>-4.7388658E-2</v>
      </c>
      <c r="Z117">
        <v>0</v>
      </c>
      <c r="AA117">
        <v>7</v>
      </c>
      <c r="AB117">
        <v>169</v>
      </c>
      <c r="AC117">
        <v>11</v>
      </c>
      <c r="AD117">
        <v>14</v>
      </c>
      <c r="AE117">
        <v>49</v>
      </c>
      <c r="AF117">
        <v>0</v>
      </c>
      <c r="AG117">
        <v>0.28000000000000003</v>
      </c>
      <c r="AH117">
        <v>2.4167000000000001</v>
      </c>
      <c r="AI117">
        <v>8.4171999999999997E-2</v>
      </c>
      <c r="AJ117">
        <v>1.2264000000000001E-2</v>
      </c>
      <c r="AK117">
        <v>2.7931360000000001</v>
      </c>
    </row>
    <row r="118" spans="1:37">
      <c r="A118" t="s">
        <v>20</v>
      </c>
      <c r="B118">
        <v>39.14049893</v>
      </c>
      <c r="C118">
        <v>1.912049321</v>
      </c>
      <c r="D118">
        <v>1.5051888870000001</v>
      </c>
      <c r="E118">
        <v>9.1924699999999995E-3</v>
      </c>
      <c r="F118">
        <v>1.472229673</v>
      </c>
      <c r="G118">
        <v>3.0033740000000001E-3</v>
      </c>
      <c r="H118">
        <v>-3.2959214000000001E-2</v>
      </c>
      <c r="I118">
        <v>6.292593E-3</v>
      </c>
      <c r="J118">
        <v>38.21077141</v>
      </c>
      <c r="K118">
        <v>38.046882150000002</v>
      </c>
      <c r="L118">
        <v>41.829012400000003</v>
      </c>
      <c r="M118">
        <v>37.54560223</v>
      </c>
      <c r="N118">
        <v>2.168316693</v>
      </c>
      <c r="O118">
        <v>1.4929436810000001</v>
      </c>
      <c r="P118">
        <v>1.5150921580000001</v>
      </c>
      <c r="Q118">
        <v>1.5075308220000001</v>
      </c>
      <c r="R118">
        <v>2.140297592</v>
      </c>
      <c r="S118">
        <v>1.468629223</v>
      </c>
      <c r="T118">
        <v>1.475981295</v>
      </c>
      <c r="U118">
        <v>1.472078502</v>
      </c>
      <c r="V118">
        <v>-2.8019101000000001E-2</v>
      </c>
      <c r="W118">
        <v>-2.4314458000000001E-2</v>
      </c>
      <c r="X118">
        <v>-3.9110863000000003E-2</v>
      </c>
      <c r="Y118">
        <v>-3.5452320000000002E-2</v>
      </c>
      <c r="Z118">
        <v>53</v>
      </c>
      <c r="AA118">
        <v>5</v>
      </c>
      <c r="AB118">
        <v>26</v>
      </c>
      <c r="AC118">
        <v>47</v>
      </c>
      <c r="AD118">
        <v>89</v>
      </c>
      <c r="AE118">
        <v>30</v>
      </c>
      <c r="AF118">
        <v>3.18</v>
      </c>
      <c r="AG118">
        <v>0.2</v>
      </c>
      <c r="AH118">
        <v>0.37180000000000002</v>
      </c>
      <c r="AI118">
        <v>0.35964400000000002</v>
      </c>
      <c r="AJ118">
        <v>7.7964000000000006E-2</v>
      </c>
      <c r="AK118">
        <v>4.1894080000000002</v>
      </c>
    </row>
    <row r="119" spans="1:37">
      <c r="A119" t="s">
        <v>20</v>
      </c>
      <c r="B119">
        <v>32.854431009999999</v>
      </c>
      <c r="C119">
        <v>0.67691240900000005</v>
      </c>
      <c r="D119">
        <v>1.8322745359999999</v>
      </c>
      <c r="E119">
        <v>5.4000630000000001E-3</v>
      </c>
      <c r="F119">
        <v>1.8002406769999999</v>
      </c>
      <c r="G119">
        <v>4.3586830000000003E-3</v>
      </c>
      <c r="H119">
        <v>-3.2033858999999998E-2</v>
      </c>
      <c r="I119">
        <v>2.8136049999999998E-3</v>
      </c>
      <c r="J119">
        <v>33.626840950000002</v>
      </c>
      <c r="K119">
        <v>31.826373230000002</v>
      </c>
      <c r="L119">
        <v>33.253035109999999</v>
      </c>
      <c r="M119">
        <v>32.711474750000001</v>
      </c>
      <c r="N119">
        <v>1.834952981</v>
      </c>
      <c r="O119">
        <v>1.8355644879999999</v>
      </c>
      <c r="P119">
        <v>1.8356477739999999</v>
      </c>
      <c r="Q119">
        <v>1.822932902</v>
      </c>
      <c r="R119">
        <v>1.804490038</v>
      </c>
      <c r="S119">
        <v>1.803841338</v>
      </c>
      <c r="T119">
        <v>1.79897642</v>
      </c>
      <c r="U119">
        <v>1.793654912</v>
      </c>
      <c r="V119">
        <v>-3.0462942999999999E-2</v>
      </c>
      <c r="W119">
        <v>-3.1723149999999999E-2</v>
      </c>
      <c r="X119">
        <v>-3.6671354000000003E-2</v>
      </c>
      <c r="Y119">
        <v>-2.927799E-2</v>
      </c>
      <c r="Z119">
        <v>39</v>
      </c>
      <c r="AA119">
        <v>28</v>
      </c>
      <c r="AB119">
        <v>78</v>
      </c>
      <c r="AC119">
        <v>38</v>
      </c>
      <c r="AD119">
        <v>62</v>
      </c>
      <c r="AE119">
        <v>5</v>
      </c>
      <c r="AF119">
        <v>2.34</v>
      </c>
      <c r="AG119">
        <v>1.1200000000000001</v>
      </c>
      <c r="AH119">
        <v>1.1153999999999999</v>
      </c>
      <c r="AI119">
        <v>0.29077599999999998</v>
      </c>
      <c r="AJ119">
        <v>5.4311999999999999E-2</v>
      </c>
      <c r="AK119">
        <v>4.9204879999999998</v>
      </c>
    </row>
    <row r="120" spans="1:37">
      <c r="A120" t="s">
        <v>20</v>
      </c>
      <c r="B120">
        <v>38.001142199999997</v>
      </c>
      <c r="C120">
        <v>3.9365251720000001</v>
      </c>
      <c r="D120">
        <v>1.9209385699999999</v>
      </c>
      <c r="E120">
        <v>2.6127414000000002E-2</v>
      </c>
      <c r="F120">
        <v>1.8254268920000001</v>
      </c>
      <c r="G120">
        <v>1.3982520999999999E-2</v>
      </c>
      <c r="H120">
        <v>-9.5511678000000003E-2</v>
      </c>
      <c r="I120">
        <v>1.2264959000000001E-2</v>
      </c>
      <c r="J120">
        <v>32.642673420000001</v>
      </c>
      <c r="K120">
        <v>19.41060483</v>
      </c>
      <c r="L120">
        <v>41.987837829999997</v>
      </c>
      <c r="M120">
        <v>39.37291535</v>
      </c>
      <c r="N120">
        <v>1.9578780250000001</v>
      </c>
      <c r="O120">
        <v>1.933023621</v>
      </c>
      <c r="P120">
        <v>1.9017137609999999</v>
      </c>
      <c r="Q120">
        <v>1.903223925</v>
      </c>
      <c r="R120">
        <v>1.8450746090000001</v>
      </c>
      <c r="S120">
        <v>1.8243596980000001</v>
      </c>
      <c r="T120">
        <v>1.8136686719999999</v>
      </c>
      <c r="U120">
        <v>1.817537395</v>
      </c>
      <c r="V120">
        <v>-0.112803416</v>
      </c>
      <c r="W120">
        <v>-0.108663923</v>
      </c>
      <c r="X120">
        <v>-8.8045089000000007E-2</v>
      </c>
      <c r="Y120">
        <v>-8.5686529999999997E-2</v>
      </c>
      <c r="Z120">
        <v>10</v>
      </c>
      <c r="AA120">
        <v>14</v>
      </c>
      <c r="AB120">
        <v>21</v>
      </c>
      <c r="AC120">
        <v>9</v>
      </c>
      <c r="AD120">
        <v>175</v>
      </c>
      <c r="AE120">
        <v>21</v>
      </c>
      <c r="AF120">
        <v>0.6</v>
      </c>
      <c r="AG120">
        <v>0.56000000000000005</v>
      </c>
      <c r="AH120">
        <v>0.30030000000000001</v>
      </c>
      <c r="AI120">
        <v>6.8867999999999999E-2</v>
      </c>
      <c r="AJ120">
        <v>0.15329999999999999</v>
      </c>
      <c r="AK120">
        <v>1.6824680000000001</v>
      </c>
    </row>
    <row r="121" spans="1:37">
      <c r="A121" t="s">
        <v>20</v>
      </c>
      <c r="B121">
        <v>4.3098126429999999</v>
      </c>
      <c r="C121">
        <v>6.0949954909999997</v>
      </c>
      <c r="D121">
        <v>0.57314719000000003</v>
      </c>
      <c r="E121">
        <v>0.81055252899999997</v>
      </c>
      <c r="F121">
        <v>0.57034157799999996</v>
      </c>
      <c r="G121">
        <v>0.80658479400000005</v>
      </c>
      <c r="H121">
        <v>-2.8056119999999999E-3</v>
      </c>
      <c r="I121">
        <v>3.967735E-3</v>
      </c>
      <c r="J121">
        <v>12.929437930000001</v>
      </c>
      <c r="K121">
        <v>24.072315060000001</v>
      </c>
      <c r="L121">
        <v>0</v>
      </c>
      <c r="M121">
        <v>0</v>
      </c>
      <c r="N121">
        <v>1.719441569</v>
      </c>
      <c r="O121">
        <v>0</v>
      </c>
      <c r="P121">
        <v>0</v>
      </c>
      <c r="Q121">
        <v>0</v>
      </c>
      <c r="R121">
        <v>1.7110247329999999</v>
      </c>
      <c r="S121">
        <v>0</v>
      </c>
      <c r="T121">
        <v>0</v>
      </c>
      <c r="U121">
        <v>0</v>
      </c>
      <c r="V121">
        <v>-8.4168360000000005E-3</v>
      </c>
      <c r="W121">
        <v>0</v>
      </c>
      <c r="X121">
        <v>0</v>
      </c>
      <c r="Y121">
        <v>0</v>
      </c>
      <c r="Z121">
        <v>50</v>
      </c>
      <c r="AA121">
        <v>34</v>
      </c>
      <c r="AB121">
        <v>100</v>
      </c>
      <c r="AC121">
        <v>20</v>
      </c>
      <c r="AD121">
        <v>40</v>
      </c>
      <c r="AE121">
        <v>6</v>
      </c>
      <c r="AF121">
        <v>3</v>
      </c>
      <c r="AG121">
        <v>1.36</v>
      </c>
      <c r="AH121">
        <v>1.43</v>
      </c>
      <c r="AI121">
        <v>0.15304000000000001</v>
      </c>
      <c r="AJ121">
        <v>3.5040000000000002E-2</v>
      </c>
      <c r="AK121">
        <v>5.9780800000000003</v>
      </c>
    </row>
    <row r="122" spans="1:37">
      <c r="A122" t="s">
        <v>20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28.936333250000001</v>
      </c>
      <c r="N122">
        <v>0</v>
      </c>
      <c r="O122">
        <v>0</v>
      </c>
      <c r="P122">
        <v>0</v>
      </c>
      <c r="Q122">
        <v>2.5477892830000002</v>
      </c>
      <c r="R122">
        <v>0</v>
      </c>
      <c r="S122">
        <v>0</v>
      </c>
      <c r="T122">
        <v>0</v>
      </c>
      <c r="U122">
        <v>2.5095778819999999</v>
      </c>
      <c r="V122">
        <v>0</v>
      </c>
      <c r="W122">
        <v>0</v>
      </c>
      <c r="X122">
        <v>0</v>
      </c>
      <c r="Y122">
        <v>-3.8211400999999999E-2</v>
      </c>
      <c r="Z122">
        <v>71</v>
      </c>
      <c r="AA122">
        <v>32</v>
      </c>
      <c r="AB122">
        <v>59</v>
      </c>
      <c r="AC122">
        <v>38</v>
      </c>
      <c r="AD122">
        <v>34</v>
      </c>
      <c r="AE122">
        <v>16</v>
      </c>
      <c r="AF122">
        <v>4.26</v>
      </c>
      <c r="AG122">
        <v>1.28</v>
      </c>
      <c r="AH122">
        <v>0.84370000000000001</v>
      </c>
      <c r="AI122">
        <v>0.29077599999999998</v>
      </c>
      <c r="AJ122">
        <v>2.9784000000000001E-2</v>
      </c>
      <c r="AK122">
        <v>6.7042599999999997</v>
      </c>
    </row>
    <row r="123" spans="1:37">
      <c r="A123" t="s">
        <v>20</v>
      </c>
      <c r="B123">
        <v>33.156450190000001</v>
      </c>
      <c r="C123">
        <v>0.21146068800000001</v>
      </c>
      <c r="D123">
        <v>1.8238844970000001</v>
      </c>
      <c r="E123">
        <v>1.7689400000000001E-3</v>
      </c>
      <c r="F123">
        <v>1.7918050670000001</v>
      </c>
      <c r="G123">
        <v>1.769954E-3</v>
      </c>
      <c r="H123">
        <v>-3.2079429999999999E-2</v>
      </c>
      <c r="I123">
        <v>1.9934359999999999E-3</v>
      </c>
      <c r="J123">
        <v>32.97963781</v>
      </c>
      <c r="K123">
        <v>33.367479529999997</v>
      </c>
      <c r="L123">
        <v>33.36570545</v>
      </c>
      <c r="M123">
        <v>32.912977959999999</v>
      </c>
      <c r="N123">
        <v>1.8250172870000001</v>
      </c>
      <c r="O123">
        <v>1.82589822</v>
      </c>
      <c r="P123">
        <v>1.8233667099999999</v>
      </c>
      <c r="Q123">
        <v>1.8212557709999999</v>
      </c>
      <c r="R123">
        <v>1.789593802</v>
      </c>
      <c r="S123">
        <v>1.794123229</v>
      </c>
      <c r="T123">
        <v>1.7928150249999999</v>
      </c>
      <c r="U123">
        <v>1.790688211</v>
      </c>
      <c r="V123">
        <v>-3.5423484999999998E-2</v>
      </c>
      <c r="W123">
        <v>-3.1774991000000002E-2</v>
      </c>
      <c r="X123">
        <v>-3.0551684999999999E-2</v>
      </c>
      <c r="Y123">
        <v>-3.0567560000000001E-2</v>
      </c>
      <c r="Z123">
        <v>0</v>
      </c>
      <c r="AA123">
        <v>18</v>
      </c>
      <c r="AB123">
        <v>110</v>
      </c>
      <c r="AC123">
        <v>0</v>
      </c>
      <c r="AD123">
        <v>15</v>
      </c>
      <c r="AE123">
        <v>107</v>
      </c>
      <c r="AF123">
        <v>0</v>
      </c>
      <c r="AG123">
        <v>0.72</v>
      </c>
      <c r="AH123">
        <v>1.573</v>
      </c>
      <c r="AI123">
        <v>0</v>
      </c>
      <c r="AJ123">
        <v>1.3140000000000001E-2</v>
      </c>
      <c r="AK123">
        <v>2.3061400000000001</v>
      </c>
    </row>
    <row r="124" spans="1:37">
      <c r="A124" t="s">
        <v>20</v>
      </c>
      <c r="B124">
        <v>29.37775186</v>
      </c>
      <c r="C124">
        <v>1.0779270000000001</v>
      </c>
      <c r="D124">
        <v>1.741284761</v>
      </c>
      <c r="E124">
        <v>1.7528800000000001E-3</v>
      </c>
      <c r="F124">
        <v>1.7251706520000001</v>
      </c>
      <c r="G124">
        <v>3.3432729999999999E-3</v>
      </c>
      <c r="H124">
        <v>-1.6114107999999999E-2</v>
      </c>
      <c r="I124">
        <v>2.392276E-3</v>
      </c>
      <c r="J124">
        <v>28.54722714</v>
      </c>
      <c r="K124">
        <v>31.22669926</v>
      </c>
      <c r="L124">
        <v>28.970364610000001</v>
      </c>
      <c r="M124">
        <v>28.766716429999999</v>
      </c>
      <c r="N124">
        <v>1.74238585</v>
      </c>
      <c r="O124">
        <v>1.7420731300000001</v>
      </c>
      <c r="P124">
        <v>1.7424222659999999</v>
      </c>
      <c r="Q124">
        <v>1.7382577960000001</v>
      </c>
      <c r="R124">
        <v>1.730329808</v>
      </c>
      <c r="S124">
        <v>1.7238183650000001</v>
      </c>
      <c r="T124">
        <v>1.725390682</v>
      </c>
      <c r="U124">
        <v>1.721143753</v>
      </c>
      <c r="V124">
        <v>-1.2056041999999999E-2</v>
      </c>
      <c r="W124">
        <v>-1.8254764999999999E-2</v>
      </c>
      <c r="X124">
        <v>-1.7031583999999999E-2</v>
      </c>
      <c r="Y124">
        <v>-1.7114042999999999E-2</v>
      </c>
      <c r="Z124">
        <v>0</v>
      </c>
      <c r="AA124">
        <v>50</v>
      </c>
      <c r="AB124">
        <v>64</v>
      </c>
      <c r="AC124">
        <v>90</v>
      </c>
      <c r="AD124">
        <v>17</v>
      </c>
      <c r="AE124">
        <v>29</v>
      </c>
      <c r="AF124">
        <v>0</v>
      </c>
      <c r="AG124">
        <v>2</v>
      </c>
      <c r="AH124">
        <v>0.91520000000000001</v>
      </c>
      <c r="AI124">
        <v>0.68867999999999996</v>
      </c>
      <c r="AJ124">
        <v>1.4892000000000001E-2</v>
      </c>
      <c r="AK124">
        <v>3.6187719999999999</v>
      </c>
    </row>
    <row r="125" spans="1:37">
      <c r="A125" t="s">
        <v>20</v>
      </c>
      <c r="B125">
        <v>24.491876739999999</v>
      </c>
      <c r="C125">
        <v>0.23738490000000001</v>
      </c>
      <c r="D125">
        <v>1.8894551369999999</v>
      </c>
      <c r="E125">
        <v>6.5714859999999996E-3</v>
      </c>
      <c r="F125">
        <v>1.816822878</v>
      </c>
      <c r="G125">
        <v>2.289718E-3</v>
      </c>
      <c r="H125">
        <v>-7.2632259000000005E-2</v>
      </c>
      <c r="I125">
        <v>6.2105260000000001E-3</v>
      </c>
      <c r="J125">
        <v>24.540381499999999</v>
      </c>
      <c r="K125">
        <v>24.335734420000001</v>
      </c>
      <c r="L125">
        <v>24.856243660000001</v>
      </c>
      <c r="M125">
        <v>24.235147359999999</v>
      </c>
      <c r="N125">
        <v>1.8837719980000001</v>
      </c>
      <c r="O125">
        <v>1.885858611</v>
      </c>
      <c r="P125">
        <v>1.90059299</v>
      </c>
      <c r="Q125">
        <v>1.8875969500000001</v>
      </c>
      <c r="R125">
        <v>1.812945424</v>
      </c>
      <c r="S125">
        <v>1.8188225</v>
      </c>
      <c r="T125">
        <v>1.8174660090000001</v>
      </c>
      <c r="U125">
        <v>1.8180575779999999</v>
      </c>
      <c r="V125">
        <v>-7.0826574000000003E-2</v>
      </c>
      <c r="W125">
        <v>-6.7036110999999995E-2</v>
      </c>
      <c r="X125">
        <v>-8.3126981000000003E-2</v>
      </c>
      <c r="Y125">
        <v>-6.9539372000000002E-2</v>
      </c>
      <c r="Z125">
        <v>0</v>
      </c>
      <c r="AA125">
        <v>15</v>
      </c>
      <c r="AB125">
        <v>0</v>
      </c>
      <c r="AC125">
        <v>12</v>
      </c>
      <c r="AD125">
        <v>206</v>
      </c>
      <c r="AE125">
        <v>17</v>
      </c>
      <c r="AF125">
        <v>0</v>
      </c>
      <c r="AG125">
        <v>0.6</v>
      </c>
      <c r="AH125">
        <v>0</v>
      </c>
      <c r="AI125">
        <v>9.1824000000000003E-2</v>
      </c>
      <c r="AJ125">
        <v>0.18045600000000001</v>
      </c>
      <c r="AK125">
        <v>0.87228000000000006</v>
      </c>
    </row>
    <row r="126" spans="1:37">
      <c r="A126" t="s">
        <v>20</v>
      </c>
      <c r="B126">
        <v>47.560169100000003</v>
      </c>
      <c r="C126">
        <v>0.36192574300000002</v>
      </c>
      <c r="D126">
        <v>1.7888592919999999</v>
      </c>
      <c r="E126">
        <v>1.8473659999999999E-2</v>
      </c>
      <c r="F126">
        <v>1.785313208</v>
      </c>
      <c r="G126">
        <v>5.8770990000000002E-3</v>
      </c>
      <c r="H126">
        <v>-3.546085E-3</v>
      </c>
      <c r="I126">
        <v>1.3443698E-2</v>
      </c>
      <c r="J126">
        <v>47.674152360000001</v>
      </c>
      <c r="K126">
        <v>46.979374559999997</v>
      </c>
      <c r="L126">
        <v>47.973422050000003</v>
      </c>
      <c r="M126">
        <v>47.613727410000003</v>
      </c>
      <c r="N126">
        <v>1.7660248569999999</v>
      </c>
      <c r="O126">
        <v>1.7754243780000001</v>
      </c>
      <c r="P126">
        <v>1.808646736</v>
      </c>
      <c r="Q126">
        <v>1.805341197</v>
      </c>
      <c r="R126">
        <v>1.7758980790000001</v>
      </c>
      <c r="S126">
        <v>1.7853463599999999</v>
      </c>
      <c r="T126">
        <v>1.791663212</v>
      </c>
      <c r="U126">
        <v>1.788345179</v>
      </c>
      <c r="V126">
        <v>9.8732219999999992E-3</v>
      </c>
      <c r="W126">
        <v>9.9219819999999993E-3</v>
      </c>
      <c r="X126">
        <v>-1.6983524E-2</v>
      </c>
      <c r="Y126">
        <v>-1.6996018000000002E-2</v>
      </c>
      <c r="Z126">
        <v>100</v>
      </c>
      <c r="AA126">
        <v>18</v>
      </c>
      <c r="AB126">
        <v>0</v>
      </c>
      <c r="AC126">
        <v>6</v>
      </c>
      <c r="AD126">
        <v>69</v>
      </c>
      <c r="AE126">
        <v>57</v>
      </c>
      <c r="AF126">
        <v>6</v>
      </c>
      <c r="AG126">
        <v>0.72</v>
      </c>
      <c r="AH126">
        <v>0</v>
      </c>
      <c r="AI126">
        <v>4.5912000000000001E-2</v>
      </c>
      <c r="AJ126">
        <v>6.0443999999999998E-2</v>
      </c>
      <c r="AK126">
        <v>6.8263559999999996</v>
      </c>
    </row>
    <row r="127" spans="1:37">
      <c r="A127" t="s">
        <v>20</v>
      </c>
      <c r="B127">
        <v>45.001168659999998</v>
      </c>
      <c r="C127">
        <v>15.586800139999999</v>
      </c>
      <c r="D127">
        <v>1.754895458</v>
      </c>
      <c r="E127">
        <v>8.6149829999999997E-3</v>
      </c>
      <c r="F127">
        <v>1.7305098269999999</v>
      </c>
      <c r="G127">
        <v>4.2894159999999999E-3</v>
      </c>
      <c r="H127">
        <v>-2.4385631000000001E-2</v>
      </c>
      <c r="I127">
        <v>4.6160539999999996E-3</v>
      </c>
      <c r="J127">
        <v>34.183135989999997</v>
      </c>
      <c r="K127">
        <v>67.790179330000001</v>
      </c>
      <c r="L127">
        <v>67.042987960000005</v>
      </c>
      <c r="M127">
        <v>33.777382019999997</v>
      </c>
      <c r="N127">
        <v>1.760001986</v>
      </c>
      <c r="O127">
        <v>1.746209731</v>
      </c>
      <c r="P127">
        <v>1.7427625579999999</v>
      </c>
      <c r="Q127">
        <v>1.7619218299999999</v>
      </c>
      <c r="R127">
        <v>1.734410316</v>
      </c>
      <c r="S127">
        <v>1.7291515930000001</v>
      </c>
      <c r="T127">
        <v>1.7245361180000001</v>
      </c>
      <c r="U127">
        <v>1.732583048</v>
      </c>
      <c r="V127">
        <v>-2.559167E-2</v>
      </c>
      <c r="W127">
        <v>-1.7058138E-2</v>
      </c>
      <c r="X127">
        <v>-1.822644E-2</v>
      </c>
      <c r="Y127">
        <v>-2.9338782000000001E-2</v>
      </c>
      <c r="Z127">
        <v>0</v>
      </c>
      <c r="AA127">
        <v>38</v>
      </c>
      <c r="AB127">
        <v>0</v>
      </c>
      <c r="AC127">
        <v>120</v>
      </c>
      <c r="AD127">
        <v>25</v>
      </c>
      <c r="AE127">
        <v>67</v>
      </c>
      <c r="AF127">
        <v>0</v>
      </c>
      <c r="AG127">
        <v>1.52</v>
      </c>
      <c r="AH127">
        <v>0</v>
      </c>
      <c r="AI127">
        <v>0.91823999999999995</v>
      </c>
      <c r="AJ127">
        <v>2.1899999999999999E-2</v>
      </c>
      <c r="AK127">
        <v>2.46014</v>
      </c>
    </row>
    <row r="128" spans="1:37">
      <c r="A128" t="s">
        <v>20</v>
      </c>
      <c r="B128">
        <v>38.198142609999998</v>
      </c>
      <c r="C128">
        <v>0.53478439300000002</v>
      </c>
      <c r="D128">
        <v>1.74405272</v>
      </c>
      <c r="E128">
        <v>2.9751640000000002E-3</v>
      </c>
      <c r="F128">
        <v>1.721546212</v>
      </c>
      <c r="G128">
        <v>3.1044570000000001E-3</v>
      </c>
      <c r="H128">
        <v>-2.2506509000000001E-2</v>
      </c>
      <c r="I128">
        <v>5.92346E-4</v>
      </c>
      <c r="J128">
        <v>39.094750810000001</v>
      </c>
      <c r="K128">
        <v>37.755633279999998</v>
      </c>
      <c r="L128">
        <v>37.827646799999997</v>
      </c>
      <c r="M128">
        <v>38.114539559999997</v>
      </c>
      <c r="N128">
        <v>1.7486236209999999</v>
      </c>
      <c r="O128">
        <v>1.743661949</v>
      </c>
      <c r="P128">
        <v>1.7436395330000001</v>
      </c>
      <c r="Q128">
        <v>1.7402857780000001</v>
      </c>
      <c r="R128">
        <v>1.726699583</v>
      </c>
      <c r="S128">
        <v>1.7205618890000001</v>
      </c>
      <c r="T128">
        <v>1.7205419660000001</v>
      </c>
      <c r="U128">
        <v>1.7183814079999999</v>
      </c>
      <c r="V128">
        <v>-2.1924038E-2</v>
      </c>
      <c r="W128">
        <v>-2.3100059999999999E-2</v>
      </c>
      <c r="X128">
        <v>-2.3097566999999999E-2</v>
      </c>
      <c r="Y128">
        <v>-2.1904369999999999E-2</v>
      </c>
      <c r="Z128">
        <v>24</v>
      </c>
      <c r="AA128">
        <v>65</v>
      </c>
      <c r="AB128">
        <v>35</v>
      </c>
      <c r="AC128">
        <v>38</v>
      </c>
      <c r="AD128">
        <v>36</v>
      </c>
      <c r="AE128">
        <v>52</v>
      </c>
      <c r="AF128">
        <v>1.44</v>
      </c>
      <c r="AG128">
        <v>2.6</v>
      </c>
      <c r="AH128">
        <v>0.50049999999999994</v>
      </c>
      <c r="AI128">
        <v>0.29077599999999998</v>
      </c>
      <c r="AJ128">
        <v>3.1536000000000002E-2</v>
      </c>
      <c r="AK128">
        <v>4.8628119999999999</v>
      </c>
    </row>
    <row r="129" spans="1:37">
      <c r="A129" t="s">
        <v>20</v>
      </c>
      <c r="B129">
        <v>37.11194201</v>
      </c>
      <c r="C129">
        <v>0.41784062700000002</v>
      </c>
      <c r="D129">
        <v>1.7417680659999999</v>
      </c>
      <c r="E129">
        <v>1.727501E-3</v>
      </c>
      <c r="F129">
        <v>1.723525725</v>
      </c>
      <c r="G129">
        <v>9.0559899999999999E-4</v>
      </c>
      <c r="H129">
        <v>-1.8242340999999999E-2</v>
      </c>
      <c r="I129">
        <v>8.3997399999999995E-4</v>
      </c>
      <c r="J129">
        <v>37.369836620000001</v>
      </c>
      <c r="K129">
        <v>36.419056910000002</v>
      </c>
      <c r="L129">
        <v>37.16038786</v>
      </c>
      <c r="M129">
        <v>37.498486659999998</v>
      </c>
      <c r="N129">
        <v>1.7439562900000001</v>
      </c>
      <c r="O129">
        <v>1.7391217450000001</v>
      </c>
      <c r="P129">
        <v>1.742139901</v>
      </c>
      <c r="Q129">
        <v>1.7418543280000001</v>
      </c>
      <c r="R129">
        <v>1.724526588</v>
      </c>
      <c r="S129">
        <v>1.7220677090000001</v>
      </c>
      <c r="T129">
        <v>1.7239098719999999</v>
      </c>
      <c r="U129">
        <v>1.7235987310000001</v>
      </c>
      <c r="V129">
        <v>-1.9429702E-2</v>
      </c>
      <c r="W129">
        <v>-1.7054036000000002E-2</v>
      </c>
      <c r="X129">
        <v>-1.8230028999999998E-2</v>
      </c>
      <c r="Y129">
        <v>-1.8255596999999998E-2</v>
      </c>
      <c r="Z129">
        <v>84</v>
      </c>
      <c r="AA129">
        <v>51</v>
      </c>
      <c r="AB129">
        <v>8</v>
      </c>
      <c r="AC129">
        <v>32</v>
      </c>
      <c r="AD129">
        <v>20</v>
      </c>
      <c r="AE129">
        <v>55</v>
      </c>
      <c r="AF129">
        <v>5.04</v>
      </c>
      <c r="AG129">
        <v>2.04</v>
      </c>
      <c r="AH129">
        <v>0.1144</v>
      </c>
      <c r="AI129">
        <v>0.244864</v>
      </c>
      <c r="AJ129">
        <v>1.7520000000000001E-2</v>
      </c>
      <c r="AK129">
        <v>7.4567839999999999</v>
      </c>
    </row>
    <row r="130" spans="1:37">
      <c r="A130" t="s">
        <v>20</v>
      </c>
      <c r="B130">
        <v>28.329529789999999</v>
      </c>
      <c r="C130">
        <v>0.51371385599999997</v>
      </c>
      <c r="D130">
        <v>1.735815339</v>
      </c>
      <c r="E130">
        <v>1.872018E-3</v>
      </c>
      <c r="F130">
        <v>1.71389207</v>
      </c>
      <c r="G130">
        <v>1.8911030000000001E-3</v>
      </c>
      <c r="H130">
        <v>-2.1923268999999999E-2</v>
      </c>
      <c r="I130" s="5" t="s">
        <v>47</v>
      </c>
      <c r="J130">
        <v>29.21663736</v>
      </c>
      <c r="K130">
        <v>28.039919170000001</v>
      </c>
      <c r="L130">
        <v>28.086782450000001</v>
      </c>
      <c r="M130">
        <v>27.974780190000001</v>
      </c>
      <c r="N130">
        <v>1.738989291</v>
      </c>
      <c r="O130">
        <v>1.7344599869999999</v>
      </c>
      <c r="P130">
        <v>1.7353820630000001</v>
      </c>
      <c r="Q130">
        <v>1.7344300159999999</v>
      </c>
      <c r="R130">
        <v>1.7170988110000001</v>
      </c>
      <c r="S130">
        <v>1.7125137050000001</v>
      </c>
      <c r="T130">
        <v>1.7134524980000001</v>
      </c>
      <c r="U130">
        <v>1.7125032659999999</v>
      </c>
      <c r="V130">
        <v>-2.189048E-2</v>
      </c>
      <c r="W130">
        <v>-2.1946282000000001E-2</v>
      </c>
      <c r="X130">
        <v>-2.1929565000000002E-2</v>
      </c>
      <c r="Y130">
        <v>-2.1926749999999998E-2</v>
      </c>
      <c r="Z130">
        <v>0</v>
      </c>
      <c r="AA130">
        <v>75</v>
      </c>
      <c r="AB130">
        <v>41</v>
      </c>
      <c r="AC130">
        <v>111</v>
      </c>
      <c r="AD130">
        <v>19</v>
      </c>
      <c r="AE130">
        <v>4</v>
      </c>
      <c r="AF130">
        <v>0</v>
      </c>
      <c r="AG130">
        <v>3</v>
      </c>
      <c r="AH130">
        <v>0.58630000000000004</v>
      </c>
      <c r="AI130">
        <v>0.84937200000000002</v>
      </c>
      <c r="AJ130">
        <v>1.6643999999999999E-2</v>
      </c>
      <c r="AK130">
        <v>4.4523159999999997</v>
      </c>
    </row>
    <row r="131" spans="1:37">
      <c r="A131" t="s">
        <v>20</v>
      </c>
      <c r="B131">
        <v>9.3758309010000005</v>
      </c>
      <c r="C131">
        <v>1.8238076080000001</v>
      </c>
      <c r="D131">
        <v>2.5572870120000002</v>
      </c>
      <c r="E131">
        <v>2.3384859999999999E-3</v>
      </c>
      <c r="F131">
        <v>2.496795739</v>
      </c>
      <c r="G131">
        <v>2.917135E-3</v>
      </c>
      <c r="H131">
        <v>-6.0491272999999998E-2</v>
      </c>
      <c r="I131">
        <v>5.7901100000000004E-4</v>
      </c>
      <c r="J131">
        <v>11.95500672</v>
      </c>
      <c r="K131">
        <v>8.0689122389999994</v>
      </c>
      <c r="L131">
        <v>8.1035737430000001</v>
      </c>
      <c r="M131">
        <v>12.314758080000001</v>
      </c>
      <c r="N131">
        <v>2.5605940239999998</v>
      </c>
      <c r="O131">
        <v>2.555610562</v>
      </c>
      <c r="P131">
        <v>2.5556564499999999</v>
      </c>
      <c r="Q131">
        <v>2.5582151369999999</v>
      </c>
      <c r="R131">
        <v>2.5009211910000002</v>
      </c>
      <c r="S131">
        <v>2.4947323610000001</v>
      </c>
      <c r="T131">
        <v>2.494733665</v>
      </c>
      <c r="U131">
        <v>2.5021500209999998</v>
      </c>
      <c r="V131">
        <v>-5.9672833000000002E-2</v>
      </c>
      <c r="W131">
        <v>-6.0878201E-2</v>
      </c>
      <c r="X131">
        <v>-6.0922785E-2</v>
      </c>
      <c r="Y131">
        <v>-5.6065115999999998E-2</v>
      </c>
      <c r="Z131">
        <v>0</v>
      </c>
      <c r="AA131">
        <v>0</v>
      </c>
      <c r="AB131">
        <v>21</v>
      </c>
      <c r="AC131">
        <v>104</v>
      </c>
      <c r="AD131">
        <v>96</v>
      </c>
      <c r="AE131">
        <v>29</v>
      </c>
      <c r="AF131">
        <v>0</v>
      </c>
      <c r="AG131">
        <v>0</v>
      </c>
      <c r="AH131">
        <v>0.30030000000000001</v>
      </c>
      <c r="AI131">
        <v>0.79580799999999996</v>
      </c>
      <c r="AJ131">
        <v>8.4096000000000004E-2</v>
      </c>
      <c r="AK131">
        <v>1.180204</v>
      </c>
    </row>
    <row r="132" spans="1:37">
      <c r="A132" t="s">
        <v>20</v>
      </c>
      <c r="B132">
        <v>24.197549859999999</v>
      </c>
      <c r="C132">
        <v>0.66197463700000003</v>
      </c>
      <c r="D132">
        <v>1.78904916</v>
      </c>
      <c r="E132">
        <v>3.9468199000000002E-2</v>
      </c>
      <c r="F132">
        <v>1.7707932850000001</v>
      </c>
      <c r="G132">
        <v>2.3349663E-2</v>
      </c>
      <c r="H132">
        <v>-1.8255875000000001E-2</v>
      </c>
      <c r="I132">
        <v>1.6231990000000002E-2</v>
      </c>
      <c r="J132">
        <v>24.034835470000001</v>
      </c>
      <c r="K132">
        <v>25.31775257</v>
      </c>
      <c r="L132">
        <v>23.637812969999999</v>
      </c>
      <c r="M132">
        <v>23.799798419999998</v>
      </c>
      <c r="N132">
        <v>1.808437963</v>
      </c>
      <c r="O132">
        <v>1.7208245849999999</v>
      </c>
      <c r="P132">
        <v>1.8114707670000001</v>
      </c>
      <c r="Q132">
        <v>1.815463327</v>
      </c>
      <c r="R132">
        <v>1.7804168410000001</v>
      </c>
      <c r="S132">
        <v>1.7306710219999999</v>
      </c>
      <c r="T132">
        <v>1.7834607179999999</v>
      </c>
      <c r="U132">
        <v>1.7886245599999999</v>
      </c>
      <c r="V132">
        <v>-2.8021121999999999E-2</v>
      </c>
      <c r="W132">
        <v>9.8464369999999996E-3</v>
      </c>
      <c r="X132">
        <v>-2.8010048999999999E-2</v>
      </c>
      <c r="Y132">
        <v>-2.6838766999999999E-2</v>
      </c>
      <c r="Z132">
        <v>20</v>
      </c>
      <c r="AA132">
        <v>14</v>
      </c>
      <c r="AB132">
        <v>0</v>
      </c>
      <c r="AC132">
        <v>192</v>
      </c>
      <c r="AD132">
        <v>19</v>
      </c>
      <c r="AE132">
        <v>5</v>
      </c>
      <c r="AF132">
        <v>1.2</v>
      </c>
      <c r="AG132">
        <v>0.56000000000000005</v>
      </c>
      <c r="AH132">
        <v>0</v>
      </c>
      <c r="AI132">
        <v>1.469184</v>
      </c>
      <c r="AJ132">
        <v>1.6643999999999999E-2</v>
      </c>
      <c r="AK132">
        <v>3.2458279999999999</v>
      </c>
    </row>
    <row r="133" spans="1:37">
      <c r="A133" t="s">
        <v>20</v>
      </c>
      <c r="B133">
        <v>43.681456449999999</v>
      </c>
      <c r="C133">
        <v>0.54813801900000003</v>
      </c>
      <c r="D133">
        <v>1.704936094</v>
      </c>
      <c r="E133">
        <v>6.2715399999999999E-4</v>
      </c>
      <c r="F133">
        <v>1.7152603280000001</v>
      </c>
      <c r="G133" s="5" t="s">
        <v>50</v>
      </c>
      <c r="H133">
        <v>1.0324234E-2</v>
      </c>
      <c r="I133">
        <v>6.1777499999999999E-4</v>
      </c>
      <c r="J133">
        <v>42.906981180000002</v>
      </c>
      <c r="K133">
        <v>44.097399099999997</v>
      </c>
      <c r="L133">
        <v>44.039989060000003</v>
      </c>
      <c r="M133">
        <v>0</v>
      </c>
      <c r="N133">
        <v>1.7040494159999999</v>
      </c>
      <c r="O133">
        <v>1.705397737</v>
      </c>
      <c r="P133">
        <v>1.7053611289999999</v>
      </c>
      <c r="Q133">
        <v>0</v>
      </c>
      <c r="R133">
        <v>1.7152472400000001</v>
      </c>
      <c r="S133">
        <v>1.7152752579999999</v>
      </c>
      <c r="T133">
        <v>1.7152584850000001</v>
      </c>
      <c r="U133">
        <v>0</v>
      </c>
      <c r="V133">
        <v>1.1197824E-2</v>
      </c>
      <c r="W133">
        <v>9.8775210000000002E-3</v>
      </c>
      <c r="X133">
        <v>9.8973559999999995E-3</v>
      </c>
      <c r="Y133">
        <v>0</v>
      </c>
      <c r="Z133">
        <v>25</v>
      </c>
      <c r="AA133">
        <v>78</v>
      </c>
      <c r="AB133">
        <v>83</v>
      </c>
      <c r="AC133">
        <v>0</v>
      </c>
      <c r="AD133">
        <v>52</v>
      </c>
      <c r="AE133">
        <v>12</v>
      </c>
      <c r="AF133">
        <v>1.5</v>
      </c>
      <c r="AG133">
        <v>3.12</v>
      </c>
      <c r="AH133">
        <v>1.1869000000000001</v>
      </c>
      <c r="AI133">
        <v>0</v>
      </c>
      <c r="AJ133">
        <v>4.5552000000000002E-2</v>
      </c>
      <c r="AK133">
        <v>5.8524520000000004</v>
      </c>
    </row>
    <row r="134" spans="1:37">
      <c r="A134" t="s">
        <v>20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25.93046313</v>
      </c>
      <c r="K134">
        <v>0</v>
      </c>
      <c r="L134">
        <v>0</v>
      </c>
      <c r="M134">
        <v>0</v>
      </c>
      <c r="N134">
        <v>1.8143292559999999</v>
      </c>
      <c r="O134">
        <v>0</v>
      </c>
      <c r="P134">
        <v>0</v>
      </c>
      <c r="Q134">
        <v>0</v>
      </c>
      <c r="R134">
        <v>1.793629798</v>
      </c>
      <c r="S134">
        <v>0</v>
      </c>
      <c r="T134">
        <v>0</v>
      </c>
      <c r="U134">
        <v>0</v>
      </c>
      <c r="V134">
        <v>-2.0699458E-2</v>
      </c>
      <c r="W134">
        <v>0</v>
      </c>
      <c r="X134">
        <v>0</v>
      </c>
      <c r="Y134">
        <v>0</v>
      </c>
      <c r="Z134">
        <v>57</v>
      </c>
      <c r="AA134">
        <v>12</v>
      </c>
      <c r="AB134">
        <v>111</v>
      </c>
      <c r="AC134">
        <v>10</v>
      </c>
      <c r="AD134">
        <v>6</v>
      </c>
      <c r="AE134">
        <v>54</v>
      </c>
      <c r="AF134">
        <v>3.42</v>
      </c>
      <c r="AG134">
        <v>0.48</v>
      </c>
      <c r="AH134">
        <v>1.5872999999999999</v>
      </c>
      <c r="AI134">
        <v>7.6520000000000005E-2</v>
      </c>
      <c r="AJ134">
        <v>5.2560000000000003E-3</v>
      </c>
      <c r="AK134">
        <v>5.5690759999999999</v>
      </c>
    </row>
    <row r="135" spans="1:37">
      <c r="A135" t="s">
        <v>20</v>
      </c>
      <c r="B135">
        <v>36.044442719999999</v>
      </c>
      <c r="C135">
        <v>0.15012319299999999</v>
      </c>
      <c r="D135">
        <v>1.806602491</v>
      </c>
      <c r="E135">
        <v>2.5319819999999999E-3</v>
      </c>
      <c r="F135">
        <v>1.77238871</v>
      </c>
      <c r="G135">
        <v>4.1652670000000003E-3</v>
      </c>
      <c r="H135">
        <v>-3.4213780999999999E-2</v>
      </c>
      <c r="I135">
        <v>1.9817279999999999E-3</v>
      </c>
      <c r="J135">
        <v>51.928186009999997</v>
      </c>
      <c r="K135">
        <v>36.107455180000002</v>
      </c>
      <c r="L135">
        <v>35.837358780000002</v>
      </c>
      <c r="M135">
        <v>36.1885142</v>
      </c>
      <c r="N135">
        <v>1.7767188730000001</v>
      </c>
      <c r="O135">
        <v>1.8031716499999999</v>
      </c>
      <c r="P135">
        <v>1.8092058289999999</v>
      </c>
      <c r="Q135">
        <v>1.8074299949999999</v>
      </c>
      <c r="R135">
        <v>1.737519373</v>
      </c>
      <c r="S135">
        <v>1.766507681</v>
      </c>
      <c r="T135">
        <v>1.7750388779999999</v>
      </c>
      <c r="U135">
        <v>1.775619571</v>
      </c>
      <c r="V135">
        <v>-3.9199499999999998E-2</v>
      </c>
      <c r="W135">
        <v>-3.6663968999999998E-2</v>
      </c>
      <c r="X135">
        <v>-3.4166951000000001E-2</v>
      </c>
      <c r="Y135">
        <v>-3.1810423999999997E-2</v>
      </c>
      <c r="Z135">
        <v>0</v>
      </c>
      <c r="AA135">
        <v>28</v>
      </c>
      <c r="AB135">
        <v>89</v>
      </c>
      <c r="AC135">
        <v>26</v>
      </c>
      <c r="AD135">
        <v>54</v>
      </c>
      <c r="AE135">
        <v>53</v>
      </c>
      <c r="AF135">
        <v>0</v>
      </c>
      <c r="AG135">
        <v>1.1200000000000001</v>
      </c>
      <c r="AH135">
        <v>1.2726999999999999</v>
      </c>
      <c r="AI135">
        <v>0.19895199999999999</v>
      </c>
      <c r="AJ135">
        <v>4.7303999999999999E-2</v>
      </c>
      <c r="AK135">
        <v>2.6389559999999999</v>
      </c>
    </row>
    <row r="136" spans="1:37">
      <c r="A136" t="s">
        <v>20</v>
      </c>
      <c r="B136">
        <v>42.63571864</v>
      </c>
      <c r="C136">
        <v>1.4577063800000001</v>
      </c>
      <c r="D136">
        <v>1.821404341</v>
      </c>
      <c r="E136">
        <v>3.0574869999999998E-3</v>
      </c>
      <c r="F136">
        <v>1.7899783339999999</v>
      </c>
      <c r="G136">
        <v>5.2225320000000002E-3</v>
      </c>
      <c r="H136">
        <v>-3.1426006999999999E-2</v>
      </c>
      <c r="I136">
        <v>2.3546180000000002E-3</v>
      </c>
      <c r="J136">
        <v>45.137225129999997</v>
      </c>
      <c r="K136">
        <v>41.591924489999997</v>
      </c>
      <c r="L136">
        <v>41.694579660000002</v>
      </c>
      <c r="M136">
        <v>42.119145279999998</v>
      </c>
      <c r="N136">
        <v>1.817627493</v>
      </c>
      <c r="O136">
        <v>1.819248676</v>
      </c>
      <c r="P136">
        <v>1.825035462</v>
      </c>
      <c r="Q136">
        <v>1.8237057320000001</v>
      </c>
      <c r="R136">
        <v>1.7834372119999999</v>
      </c>
      <c r="S136">
        <v>1.7863053250000001</v>
      </c>
      <c r="T136">
        <v>1.7945118739999999</v>
      </c>
      <c r="U136">
        <v>1.795658926</v>
      </c>
      <c r="V136">
        <v>-3.4190281000000003E-2</v>
      </c>
      <c r="W136">
        <v>-3.2943351000000003E-2</v>
      </c>
      <c r="X136">
        <v>-3.0523588000000001E-2</v>
      </c>
      <c r="Y136">
        <v>-2.8046806000000001E-2</v>
      </c>
      <c r="Z136">
        <v>46</v>
      </c>
      <c r="AA136">
        <v>27</v>
      </c>
      <c r="AB136">
        <v>18</v>
      </c>
      <c r="AC136">
        <v>48</v>
      </c>
      <c r="AD136">
        <v>69</v>
      </c>
      <c r="AE136">
        <v>42</v>
      </c>
      <c r="AF136">
        <v>2.76</v>
      </c>
      <c r="AG136">
        <v>1.08</v>
      </c>
      <c r="AH136">
        <v>0.25740000000000002</v>
      </c>
      <c r="AI136">
        <v>0.36729600000000001</v>
      </c>
      <c r="AJ136">
        <v>6.0443999999999998E-2</v>
      </c>
      <c r="AK136">
        <v>4.5251400000000004</v>
      </c>
    </row>
    <row r="137" spans="1:37">
      <c r="A137" t="s">
        <v>20</v>
      </c>
      <c r="B137">
        <v>41.053362219999997</v>
      </c>
      <c r="C137">
        <v>4.0483401859999999</v>
      </c>
      <c r="D137">
        <v>1.8137394870000001</v>
      </c>
      <c r="E137">
        <v>2.5237313000000001E-2</v>
      </c>
      <c r="F137">
        <v>1.7780102209999999</v>
      </c>
      <c r="G137">
        <v>2.2155879999999999E-2</v>
      </c>
      <c r="H137">
        <v>-3.5729267000000002E-2</v>
      </c>
      <c r="I137">
        <v>3.2649160000000001E-3</v>
      </c>
      <c r="J137">
        <v>42.075619869999997</v>
      </c>
      <c r="K137">
        <v>38.430021699999998</v>
      </c>
      <c r="L137">
        <v>36.546005110000003</v>
      </c>
      <c r="M137">
        <v>47.161802180000002</v>
      </c>
      <c r="N137">
        <v>1.832226957</v>
      </c>
      <c r="O137">
        <v>1.82773151</v>
      </c>
      <c r="P137">
        <v>1.824727172</v>
      </c>
      <c r="Q137">
        <v>1.77027231</v>
      </c>
      <c r="R137">
        <v>1.793135216</v>
      </c>
      <c r="S137">
        <v>1.789891136</v>
      </c>
      <c r="T137">
        <v>1.7892958800000001</v>
      </c>
      <c r="U137">
        <v>1.7397186499999999</v>
      </c>
      <c r="V137">
        <v>-3.9091740999999999E-2</v>
      </c>
      <c r="W137">
        <v>-3.7840374000000003E-2</v>
      </c>
      <c r="X137">
        <v>-3.5431292000000003E-2</v>
      </c>
      <c r="Y137">
        <v>-3.055366E-2</v>
      </c>
      <c r="Z137">
        <v>10</v>
      </c>
      <c r="AA137">
        <v>30</v>
      </c>
      <c r="AB137">
        <v>54</v>
      </c>
      <c r="AC137">
        <v>61</v>
      </c>
      <c r="AD137">
        <v>45</v>
      </c>
      <c r="AE137">
        <v>50</v>
      </c>
      <c r="AF137">
        <v>0.6</v>
      </c>
      <c r="AG137">
        <v>1.2</v>
      </c>
      <c r="AH137">
        <v>0.7722</v>
      </c>
      <c r="AI137">
        <v>0.46677200000000002</v>
      </c>
      <c r="AJ137">
        <v>3.9419999999999997E-2</v>
      </c>
      <c r="AK137">
        <v>3.078392</v>
      </c>
    </row>
    <row r="138" spans="1:37">
      <c r="A138" t="s">
        <v>20</v>
      </c>
      <c r="B138">
        <v>23.736212330000001</v>
      </c>
      <c r="C138">
        <v>7.7746892540000001</v>
      </c>
      <c r="D138">
        <v>1.7125177460000001</v>
      </c>
      <c r="E138">
        <v>2.9921816E-2</v>
      </c>
      <c r="F138">
        <v>1.7093929560000001</v>
      </c>
      <c r="G138">
        <v>1.6545134999999999E-2</v>
      </c>
      <c r="H138">
        <v>-3.1247900000000001E-3</v>
      </c>
      <c r="I138">
        <v>1.8526684000000002E-2</v>
      </c>
      <c r="J138">
        <v>20.45094031</v>
      </c>
      <c r="K138">
        <v>0</v>
      </c>
      <c r="L138">
        <v>34.465868219999997</v>
      </c>
      <c r="M138">
        <v>16.291828460000001</v>
      </c>
      <c r="N138">
        <v>1.68271178</v>
      </c>
      <c r="O138">
        <v>0</v>
      </c>
      <c r="P138">
        <v>1.7534337230000001</v>
      </c>
      <c r="Q138">
        <v>1.701407734</v>
      </c>
      <c r="R138">
        <v>1.7048095430000001</v>
      </c>
      <c r="S138">
        <v>0</v>
      </c>
      <c r="T138">
        <v>1.731555658</v>
      </c>
      <c r="U138">
        <v>1.691813666</v>
      </c>
      <c r="V138">
        <v>2.2097762999999999E-2</v>
      </c>
      <c r="W138">
        <v>0</v>
      </c>
      <c r="X138">
        <v>-2.1878064999999999E-2</v>
      </c>
      <c r="Y138">
        <v>-9.5940680000000007E-3</v>
      </c>
      <c r="Z138">
        <v>0</v>
      </c>
      <c r="AA138">
        <v>41</v>
      </c>
      <c r="AB138">
        <v>192</v>
      </c>
      <c r="AC138">
        <v>14</v>
      </c>
      <c r="AD138">
        <v>0</v>
      </c>
      <c r="AE138">
        <v>3</v>
      </c>
      <c r="AF138">
        <v>0</v>
      </c>
      <c r="AG138">
        <v>1.64</v>
      </c>
      <c r="AH138">
        <v>2.7456</v>
      </c>
      <c r="AI138">
        <v>0.107128</v>
      </c>
      <c r="AJ138">
        <v>0</v>
      </c>
      <c r="AK138">
        <v>4.4927279999999996</v>
      </c>
    </row>
    <row r="139" spans="1:37">
      <c r="A139" t="s">
        <v>20</v>
      </c>
      <c r="B139">
        <v>21.992614369999998</v>
      </c>
      <c r="C139">
        <v>1.064066631</v>
      </c>
      <c r="D139">
        <v>1.7964205849999999</v>
      </c>
      <c r="E139">
        <v>7.0467014999999994E-2</v>
      </c>
      <c r="F139">
        <v>1.7744361479999999</v>
      </c>
      <c r="G139">
        <v>4.7943574000000003E-2</v>
      </c>
      <c r="H139">
        <v>-2.1984436999999999E-2</v>
      </c>
      <c r="I139">
        <v>2.2542394E-2</v>
      </c>
      <c r="J139">
        <v>20.62236978</v>
      </c>
      <c r="K139">
        <v>23.216419330000001</v>
      </c>
      <c r="L139">
        <v>22.139054009999999</v>
      </c>
      <c r="M139">
        <v>36.926803110000002</v>
      </c>
      <c r="N139">
        <v>1.6970681139999999</v>
      </c>
      <c r="O139">
        <v>1.8393725889999999</v>
      </c>
      <c r="P139">
        <v>1.8528210519999999</v>
      </c>
      <c r="Q139">
        <v>1.725492866</v>
      </c>
      <c r="R139">
        <v>1.7069323409999999</v>
      </c>
      <c r="S139">
        <v>1.802682919</v>
      </c>
      <c r="T139">
        <v>1.813693183</v>
      </c>
      <c r="U139">
        <v>1.735362748</v>
      </c>
      <c r="V139">
        <v>9.8642269999999997E-3</v>
      </c>
      <c r="W139">
        <v>-3.6689670000000001E-2</v>
      </c>
      <c r="X139">
        <v>-3.9127869000000003E-2</v>
      </c>
      <c r="Y139">
        <v>9.869882E-3</v>
      </c>
      <c r="Z139">
        <v>6</v>
      </c>
      <c r="AA139">
        <v>32</v>
      </c>
      <c r="AB139">
        <v>9</v>
      </c>
      <c r="AC139">
        <v>185</v>
      </c>
      <c r="AD139">
        <v>12</v>
      </c>
      <c r="AE139">
        <v>6</v>
      </c>
      <c r="AF139">
        <v>0.36</v>
      </c>
      <c r="AG139">
        <v>1.28</v>
      </c>
      <c r="AH139">
        <v>0.12870000000000001</v>
      </c>
      <c r="AI139">
        <v>1.4156200000000001</v>
      </c>
      <c r="AJ139">
        <v>1.0512000000000001E-2</v>
      </c>
      <c r="AK139">
        <v>3.1948319999999999</v>
      </c>
    </row>
    <row r="140" spans="1:37">
      <c r="A140" t="s">
        <v>20</v>
      </c>
      <c r="B140">
        <v>62.614140820000003</v>
      </c>
      <c r="C140">
        <v>3.1172901999999998</v>
      </c>
      <c r="D140">
        <v>1.7616991129999999</v>
      </c>
      <c r="E140">
        <v>3.8996859999999999E-3</v>
      </c>
      <c r="F140">
        <v>1.7299101809999999</v>
      </c>
      <c r="G140">
        <v>1.055137E-3</v>
      </c>
      <c r="H140">
        <v>-3.1788931999999999E-2</v>
      </c>
      <c r="I140">
        <v>3.147988E-3</v>
      </c>
      <c r="J140">
        <v>57.295985629999997</v>
      </c>
      <c r="K140">
        <v>65.177445180000007</v>
      </c>
      <c r="L140">
        <v>64.324798380000004</v>
      </c>
      <c r="M140">
        <v>63.658334099999998</v>
      </c>
      <c r="N140">
        <v>1.767464076</v>
      </c>
      <c r="O140">
        <v>1.7629034400000001</v>
      </c>
      <c r="P140">
        <v>1.7591787080000001</v>
      </c>
      <c r="Q140">
        <v>1.7572502290000001</v>
      </c>
      <c r="R140">
        <v>1.73074868</v>
      </c>
      <c r="S140">
        <v>1.7311187859999999</v>
      </c>
      <c r="T140">
        <v>1.728575076</v>
      </c>
      <c r="U140">
        <v>1.7291981830000001</v>
      </c>
      <c r="V140">
        <v>-3.6715395999999997E-2</v>
      </c>
      <c r="W140">
        <v>-3.1784654000000002E-2</v>
      </c>
      <c r="X140">
        <v>-3.0603631999999999E-2</v>
      </c>
      <c r="Y140">
        <v>-2.8052046000000001E-2</v>
      </c>
      <c r="Z140">
        <v>20</v>
      </c>
      <c r="AA140">
        <v>52</v>
      </c>
      <c r="AB140">
        <v>19</v>
      </c>
      <c r="AC140">
        <v>10</v>
      </c>
      <c r="AD140">
        <v>22</v>
      </c>
      <c r="AE140">
        <v>127</v>
      </c>
      <c r="AF140">
        <v>1.2</v>
      </c>
      <c r="AG140">
        <v>2.08</v>
      </c>
      <c r="AH140">
        <v>0.2717</v>
      </c>
      <c r="AI140">
        <v>7.6520000000000005E-2</v>
      </c>
      <c r="AJ140">
        <v>1.9272000000000001E-2</v>
      </c>
      <c r="AK140">
        <v>3.6474920000000002</v>
      </c>
    </row>
    <row r="141" spans="1:37">
      <c r="A141" t="s">
        <v>20</v>
      </c>
      <c r="B141">
        <v>28.039565379999999</v>
      </c>
      <c r="C141">
        <v>2.9542617390000001</v>
      </c>
      <c r="D141">
        <v>1.832528666</v>
      </c>
      <c r="E141">
        <v>3.0358014999999999E-2</v>
      </c>
      <c r="F141">
        <v>1.810623208</v>
      </c>
      <c r="G141">
        <v>7.9440859999999995E-3</v>
      </c>
      <c r="H141">
        <v>-2.1905457999999999E-2</v>
      </c>
      <c r="I141">
        <v>2.2555269999999999E-2</v>
      </c>
      <c r="J141">
        <v>32.202958070000001</v>
      </c>
      <c r="K141">
        <v>26.25972105</v>
      </c>
      <c r="L141">
        <v>25.656017030000001</v>
      </c>
      <c r="M141">
        <v>39.739837899999998</v>
      </c>
      <c r="N141">
        <v>1.7896650359999999</v>
      </c>
      <c r="O141">
        <v>1.8518520389999999</v>
      </c>
      <c r="P141">
        <v>1.8560689239999999</v>
      </c>
      <c r="Q141">
        <v>1.7968272160000001</v>
      </c>
      <c r="R141">
        <v>1.7996575459999999</v>
      </c>
      <c r="S141">
        <v>1.8139898050000001</v>
      </c>
      <c r="T141">
        <v>1.818222274</v>
      </c>
      <c r="U141">
        <v>1.8067988749999999</v>
      </c>
      <c r="V141">
        <v>9.9925099999999996E-3</v>
      </c>
      <c r="W141">
        <v>-3.7862234000000002E-2</v>
      </c>
      <c r="X141">
        <v>-3.7846650000000003E-2</v>
      </c>
      <c r="Y141">
        <v>9.9716590000000008E-3</v>
      </c>
      <c r="Z141">
        <v>28</v>
      </c>
      <c r="AA141">
        <v>11</v>
      </c>
      <c r="AB141">
        <v>0</v>
      </c>
      <c r="AC141">
        <v>179</v>
      </c>
      <c r="AD141">
        <v>11</v>
      </c>
      <c r="AE141">
        <v>21</v>
      </c>
      <c r="AF141">
        <v>1.68</v>
      </c>
      <c r="AG141">
        <v>0.44</v>
      </c>
      <c r="AH141">
        <v>0</v>
      </c>
      <c r="AI141">
        <v>1.3697079999999999</v>
      </c>
      <c r="AJ141">
        <v>9.6360000000000005E-3</v>
      </c>
      <c r="AK141">
        <v>3.4993439999999998</v>
      </c>
    </row>
    <row r="142" spans="1:37">
      <c r="A142" t="s">
        <v>20</v>
      </c>
      <c r="B142">
        <v>26.353665920000001</v>
      </c>
      <c r="C142">
        <v>1.262299405</v>
      </c>
      <c r="D142">
        <v>2.8593978980000001</v>
      </c>
      <c r="E142">
        <v>1.1452284E-2</v>
      </c>
      <c r="F142">
        <v>2.7918677019999998</v>
      </c>
      <c r="G142">
        <v>1.0186676E-2</v>
      </c>
      <c r="H142">
        <v>-6.7530197E-2</v>
      </c>
      <c r="I142">
        <v>1.559331E-3</v>
      </c>
      <c r="J142">
        <v>20.401183880000001</v>
      </c>
      <c r="K142">
        <v>24.728885569999999</v>
      </c>
      <c r="L142">
        <v>26.52561382</v>
      </c>
      <c r="M142">
        <v>27.806498359999999</v>
      </c>
      <c r="N142">
        <v>2.941249204</v>
      </c>
      <c r="O142">
        <v>2.875022521</v>
      </c>
      <c r="P142">
        <v>2.8478929470000001</v>
      </c>
      <c r="Q142">
        <v>2.8552782269999999</v>
      </c>
      <c r="R142">
        <v>2.874156937</v>
      </c>
      <c r="S142">
        <v>2.8053966269999999</v>
      </c>
      <c r="T142">
        <v>2.780816202</v>
      </c>
      <c r="U142">
        <v>2.7893902759999998</v>
      </c>
      <c r="V142">
        <v>-6.7092266999999997E-2</v>
      </c>
      <c r="W142">
        <v>-6.9625893999999994E-2</v>
      </c>
      <c r="X142">
        <v>-6.7076744999999993E-2</v>
      </c>
      <c r="Y142">
        <v>-6.5887951E-2</v>
      </c>
      <c r="Z142">
        <v>0</v>
      </c>
      <c r="AA142">
        <v>0</v>
      </c>
      <c r="AB142">
        <v>89</v>
      </c>
      <c r="AC142">
        <v>11</v>
      </c>
      <c r="AD142">
        <v>66</v>
      </c>
      <c r="AE142">
        <v>84</v>
      </c>
      <c r="AF142">
        <v>0</v>
      </c>
      <c r="AG142">
        <v>0</v>
      </c>
      <c r="AH142">
        <v>1.2726999999999999</v>
      </c>
      <c r="AI142">
        <v>8.4171999999999997E-2</v>
      </c>
      <c r="AJ142">
        <v>5.7815999999999999E-2</v>
      </c>
      <c r="AK142">
        <v>1.4146879999999999</v>
      </c>
    </row>
    <row r="143" spans="1:37">
      <c r="A143" t="s">
        <v>20</v>
      </c>
      <c r="B143">
        <v>26.028928780000001</v>
      </c>
      <c r="C143">
        <v>0.49686365300000002</v>
      </c>
      <c r="D143">
        <v>2.9084981760000002</v>
      </c>
      <c r="E143">
        <v>2.3018124000000001E-2</v>
      </c>
      <c r="F143">
        <v>2.8367534810000001</v>
      </c>
      <c r="G143">
        <v>2.4123433999999999E-2</v>
      </c>
      <c r="H143">
        <v>-7.1744694999999997E-2</v>
      </c>
      <c r="I143">
        <v>2.3706259999999998E-3</v>
      </c>
      <c r="J143">
        <v>26.454411669999999</v>
      </c>
      <c r="K143">
        <v>25.720344539999999</v>
      </c>
      <c r="L143">
        <v>25.377014469999999</v>
      </c>
      <c r="M143">
        <v>26.563944450000001</v>
      </c>
      <c r="N143">
        <v>2.942785454</v>
      </c>
      <c r="O143">
        <v>2.9131058670000001</v>
      </c>
      <c r="P143">
        <v>2.898163276</v>
      </c>
      <c r="Q143">
        <v>2.8799381049999999</v>
      </c>
      <c r="R143">
        <v>2.8744354959999998</v>
      </c>
      <c r="S143">
        <v>2.838561597</v>
      </c>
      <c r="T143">
        <v>2.8249084600000001</v>
      </c>
      <c r="U143">
        <v>2.809108369</v>
      </c>
      <c r="V143">
        <v>-6.8349958000000002E-2</v>
      </c>
      <c r="W143">
        <v>-7.4544269999999996E-2</v>
      </c>
      <c r="X143">
        <v>-7.3254816E-2</v>
      </c>
      <c r="Y143">
        <v>-7.0829736000000004E-2</v>
      </c>
      <c r="Z143">
        <v>0</v>
      </c>
      <c r="AA143">
        <v>0</v>
      </c>
      <c r="AB143">
        <v>84</v>
      </c>
      <c r="AC143">
        <v>9</v>
      </c>
      <c r="AD143">
        <v>82</v>
      </c>
      <c r="AE143">
        <v>75</v>
      </c>
      <c r="AF143">
        <v>0</v>
      </c>
      <c r="AG143">
        <v>0</v>
      </c>
      <c r="AH143">
        <v>1.2012</v>
      </c>
      <c r="AI143">
        <v>6.8867999999999999E-2</v>
      </c>
      <c r="AJ143">
        <v>7.1831999999999993E-2</v>
      </c>
      <c r="AK143">
        <v>1.3419000000000001</v>
      </c>
    </row>
    <row r="144" spans="1:37">
      <c r="A144" t="s">
        <v>20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11</v>
      </c>
      <c r="AA144">
        <v>32</v>
      </c>
      <c r="AB144">
        <v>141</v>
      </c>
      <c r="AC144">
        <v>0</v>
      </c>
      <c r="AD144">
        <v>10</v>
      </c>
      <c r="AE144">
        <v>56</v>
      </c>
      <c r="AF144">
        <v>0.66</v>
      </c>
      <c r="AG144">
        <v>1.28</v>
      </c>
      <c r="AH144">
        <v>2.0163000000000002</v>
      </c>
      <c r="AI144">
        <v>0</v>
      </c>
      <c r="AJ144">
        <v>8.7600000000000004E-3</v>
      </c>
      <c r="AK144">
        <v>3.9650599999999998</v>
      </c>
    </row>
    <row r="145" spans="1:37">
      <c r="A145" t="s">
        <v>20</v>
      </c>
      <c r="B145">
        <v>40.689967639999999</v>
      </c>
      <c r="C145">
        <v>1.320647694</v>
      </c>
      <c r="D145">
        <v>1.7430041700000001</v>
      </c>
      <c r="E145">
        <v>2.1822052000000002E-2</v>
      </c>
      <c r="F145">
        <v>1.720757774</v>
      </c>
      <c r="G145">
        <v>1.3923923E-2</v>
      </c>
      <c r="H145">
        <v>-2.2246396000000002E-2</v>
      </c>
      <c r="I145">
        <v>8.0373770000000001E-3</v>
      </c>
      <c r="J145">
        <v>40.90902629</v>
      </c>
      <c r="K145">
        <v>38.570668990000001</v>
      </c>
      <c r="L145">
        <v>42.202035960000003</v>
      </c>
      <c r="M145">
        <v>41.078139329999999</v>
      </c>
      <c r="N145">
        <v>1.7055329669999999</v>
      </c>
      <c r="O145">
        <v>1.760029592</v>
      </c>
      <c r="P145">
        <v>1.7541854109999999</v>
      </c>
      <c r="Q145">
        <v>1.7522687100000001</v>
      </c>
      <c r="R145">
        <v>1.6971270679999999</v>
      </c>
      <c r="S145">
        <v>1.7331672840000001</v>
      </c>
      <c r="T145">
        <v>1.7261049909999999</v>
      </c>
      <c r="U145">
        <v>1.7266317520000001</v>
      </c>
      <c r="V145">
        <v>-8.4058989999999997E-3</v>
      </c>
      <c r="W145">
        <v>-2.6862308000000001E-2</v>
      </c>
      <c r="X145">
        <v>-2.8080419999999998E-2</v>
      </c>
      <c r="Y145">
        <v>-2.5636958000000001E-2</v>
      </c>
      <c r="Z145">
        <v>53</v>
      </c>
      <c r="AA145">
        <v>113</v>
      </c>
      <c r="AB145">
        <v>16</v>
      </c>
      <c r="AC145">
        <v>30</v>
      </c>
      <c r="AD145">
        <v>33</v>
      </c>
      <c r="AE145">
        <v>5</v>
      </c>
      <c r="AF145">
        <v>3.18</v>
      </c>
      <c r="AG145">
        <v>4.5199999999999996</v>
      </c>
      <c r="AH145">
        <v>0.2288</v>
      </c>
      <c r="AI145">
        <v>0.22955999999999999</v>
      </c>
      <c r="AJ145">
        <v>2.8908E-2</v>
      </c>
      <c r="AK145">
        <v>8.1872679999999995</v>
      </c>
    </row>
    <row r="146" spans="1:37">
      <c r="A146" t="s">
        <v>20</v>
      </c>
      <c r="B146">
        <v>48.610794570000003</v>
      </c>
      <c r="C146">
        <v>4.6045603970000002</v>
      </c>
      <c r="D146">
        <v>1.9474220229999999</v>
      </c>
      <c r="E146">
        <v>1.6193174000000001E-2</v>
      </c>
      <c r="F146">
        <v>1.9123709900000001</v>
      </c>
      <c r="G146">
        <v>1.7385108E-2</v>
      </c>
      <c r="H146">
        <v>-3.5051033000000002E-2</v>
      </c>
      <c r="I146">
        <v>1.1931590000000001E-3</v>
      </c>
      <c r="J146">
        <v>47.266699860000003</v>
      </c>
      <c r="K146">
        <v>54.800814539999998</v>
      </c>
      <c r="L146">
        <v>62.482212779999998</v>
      </c>
      <c r="M146">
        <v>43.764869320000003</v>
      </c>
      <c r="N146">
        <v>1.9245677299999999</v>
      </c>
      <c r="O146">
        <v>1.9601098370000001</v>
      </c>
      <c r="P146">
        <v>1.9616347380000001</v>
      </c>
      <c r="Q146">
        <v>1.957588503</v>
      </c>
      <c r="R146">
        <v>1.8878295490000001</v>
      </c>
      <c r="S146">
        <v>1.925926713</v>
      </c>
      <c r="T146">
        <v>1.929840099</v>
      </c>
      <c r="U146">
        <v>1.923356708</v>
      </c>
      <c r="V146">
        <v>-3.6738181000000002E-2</v>
      </c>
      <c r="W146">
        <v>-3.4183124000000002E-2</v>
      </c>
      <c r="X146">
        <v>-3.1794639E-2</v>
      </c>
      <c r="Y146">
        <v>-3.4231795000000002E-2</v>
      </c>
      <c r="Z146">
        <v>5</v>
      </c>
      <c r="AA146">
        <v>47</v>
      </c>
      <c r="AB146">
        <v>20</v>
      </c>
      <c r="AC146">
        <v>142</v>
      </c>
      <c r="AD146">
        <v>0</v>
      </c>
      <c r="AE146">
        <v>36</v>
      </c>
      <c r="AF146">
        <v>0.3</v>
      </c>
      <c r="AG146">
        <v>1.88</v>
      </c>
      <c r="AH146">
        <v>0.28599999999999998</v>
      </c>
      <c r="AI146">
        <v>1.086584</v>
      </c>
      <c r="AJ146">
        <v>0</v>
      </c>
      <c r="AK146">
        <v>3.552584</v>
      </c>
    </row>
    <row r="147" spans="1:37">
      <c r="A147" t="s">
        <v>20</v>
      </c>
      <c r="B147">
        <v>17.174473819999999</v>
      </c>
      <c r="C147">
        <v>24.288373799999999</v>
      </c>
      <c r="D147">
        <v>0.631124664</v>
      </c>
      <c r="E147">
        <v>0.89254506</v>
      </c>
      <c r="F147">
        <v>0.62178015200000003</v>
      </c>
      <c r="G147">
        <v>0.87932992300000001</v>
      </c>
      <c r="H147">
        <v>-9.3445130000000005E-3</v>
      </c>
      <c r="I147">
        <v>1.3215137E-2</v>
      </c>
      <c r="J147">
        <v>51.523421450000001</v>
      </c>
      <c r="K147">
        <v>0</v>
      </c>
      <c r="L147">
        <v>0</v>
      </c>
      <c r="M147">
        <v>58.249500910000002</v>
      </c>
      <c r="N147">
        <v>1.893373993</v>
      </c>
      <c r="O147">
        <v>0</v>
      </c>
      <c r="P147">
        <v>0</v>
      </c>
      <c r="Q147">
        <v>1.9062409060000001</v>
      </c>
      <c r="R147">
        <v>1.8653404549999999</v>
      </c>
      <c r="S147">
        <v>0</v>
      </c>
      <c r="T147">
        <v>0</v>
      </c>
      <c r="U147">
        <v>1.8757207149999999</v>
      </c>
      <c r="V147">
        <v>-2.8033538E-2</v>
      </c>
      <c r="W147">
        <v>0</v>
      </c>
      <c r="X147">
        <v>0</v>
      </c>
      <c r="Y147">
        <v>-3.0520190999999999E-2</v>
      </c>
      <c r="Z147">
        <v>27</v>
      </c>
      <c r="AA147">
        <v>37</v>
      </c>
      <c r="AB147">
        <v>57</v>
      </c>
      <c r="AC147">
        <v>42</v>
      </c>
      <c r="AD147">
        <v>21</v>
      </c>
      <c r="AE147">
        <v>66</v>
      </c>
      <c r="AF147">
        <v>1.62</v>
      </c>
      <c r="AG147">
        <v>1.48</v>
      </c>
      <c r="AH147">
        <v>0.81510000000000005</v>
      </c>
      <c r="AI147">
        <v>0.321384</v>
      </c>
      <c r="AJ147">
        <v>1.8395999999999999E-2</v>
      </c>
      <c r="AK147">
        <v>4.25488</v>
      </c>
    </row>
    <row r="148" spans="1:37">
      <c r="A148" t="s">
        <v>20</v>
      </c>
      <c r="B148">
        <v>39.143337150000001</v>
      </c>
      <c r="C148">
        <v>1.649845716</v>
      </c>
      <c r="D148">
        <v>2.7762146419999998</v>
      </c>
      <c r="E148">
        <v>2.2119534E-2</v>
      </c>
      <c r="F148">
        <v>2.7069914709999998</v>
      </c>
      <c r="G148">
        <v>2.8429619E-2</v>
      </c>
      <c r="H148">
        <v>-6.9223171E-2</v>
      </c>
      <c r="I148">
        <v>1.1657887E-2</v>
      </c>
      <c r="J148">
        <v>37.284227280000003</v>
      </c>
      <c r="K148">
        <v>38.851921480000001</v>
      </c>
      <c r="L148">
        <v>40.387741159999997</v>
      </c>
      <c r="M148">
        <v>41.293862679999997</v>
      </c>
      <c r="N148">
        <v>2.762727436</v>
      </c>
      <c r="O148">
        <v>2.7585147980000002</v>
      </c>
      <c r="P148">
        <v>1.9351885609999999</v>
      </c>
      <c r="Q148">
        <v>2.807401692</v>
      </c>
      <c r="R148">
        <v>2.6770741450000002</v>
      </c>
      <c r="S148">
        <v>2.6986890049999999</v>
      </c>
      <c r="T148">
        <v>1.8740864260000001</v>
      </c>
      <c r="U148">
        <v>2.7452112620000002</v>
      </c>
      <c r="V148">
        <v>-8.5653291000000006E-2</v>
      </c>
      <c r="W148">
        <v>-5.9825793000000002E-2</v>
      </c>
      <c r="X148">
        <v>-6.1102135000000002E-2</v>
      </c>
      <c r="Y148">
        <v>-6.2190429999999998E-2</v>
      </c>
      <c r="Z148">
        <v>8</v>
      </c>
      <c r="AA148">
        <v>0</v>
      </c>
      <c r="AB148">
        <v>131</v>
      </c>
      <c r="AC148">
        <v>0</v>
      </c>
      <c r="AD148">
        <v>109</v>
      </c>
      <c r="AE148">
        <v>2</v>
      </c>
      <c r="AF148">
        <v>0.48</v>
      </c>
      <c r="AG148">
        <v>0</v>
      </c>
      <c r="AH148">
        <v>1.8733</v>
      </c>
      <c r="AI148">
        <v>0</v>
      </c>
      <c r="AJ148">
        <v>9.5483999999999999E-2</v>
      </c>
      <c r="AK148">
        <v>2.4487839999999998</v>
      </c>
    </row>
    <row r="149" spans="1:37">
      <c r="A149" t="s">
        <v>20</v>
      </c>
      <c r="B149">
        <v>60.649595150000003</v>
      </c>
      <c r="C149">
        <v>4.5087462760000001</v>
      </c>
      <c r="D149">
        <v>1.8646727320000001</v>
      </c>
      <c r="E149">
        <v>1.0789325000000001E-2</v>
      </c>
      <c r="F149">
        <v>1.844852991</v>
      </c>
      <c r="G149">
        <v>9.9476990000000008E-3</v>
      </c>
      <c r="H149">
        <v>-1.9819739999999999E-2</v>
      </c>
      <c r="I149">
        <v>1.024264E-3</v>
      </c>
      <c r="J149">
        <v>67.820255320000001</v>
      </c>
      <c r="K149">
        <v>59.845017740000003</v>
      </c>
      <c r="L149">
        <v>59.586218260000003</v>
      </c>
      <c r="M149">
        <v>55.34688929</v>
      </c>
      <c r="N149">
        <v>1.8466212740000001</v>
      </c>
      <c r="O149">
        <v>1.8661343990000001</v>
      </c>
      <c r="P149">
        <v>1.872833494</v>
      </c>
      <c r="Q149">
        <v>1.8731017590000001</v>
      </c>
      <c r="R149">
        <v>1.82843424</v>
      </c>
      <c r="S149">
        <v>1.8454543189999999</v>
      </c>
      <c r="T149">
        <v>1.852131448</v>
      </c>
      <c r="U149">
        <v>1.853391958</v>
      </c>
      <c r="V149">
        <v>-1.8187034000000001E-2</v>
      </c>
      <c r="W149">
        <v>-2.068008E-2</v>
      </c>
      <c r="X149">
        <v>-2.0702046000000002E-2</v>
      </c>
      <c r="Y149">
        <v>-1.9709800999999999E-2</v>
      </c>
      <c r="Z149">
        <v>25</v>
      </c>
      <c r="AA149">
        <v>49</v>
      </c>
      <c r="AB149">
        <v>87</v>
      </c>
      <c r="AC149">
        <v>16</v>
      </c>
      <c r="AD149">
        <v>68</v>
      </c>
      <c r="AE149">
        <v>5</v>
      </c>
      <c r="AF149">
        <v>1.5</v>
      </c>
      <c r="AG149">
        <v>1.96</v>
      </c>
      <c r="AH149">
        <v>1.2441</v>
      </c>
      <c r="AI149">
        <v>0.122432</v>
      </c>
      <c r="AJ149">
        <v>5.9568000000000003E-2</v>
      </c>
      <c r="AK149">
        <v>4.8860999999999999</v>
      </c>
    </row>
    <row r="150" spans="1:37">
      <c r="A150" t="s">
        <v>20</v>
      </c>
      <c r="B150">
        <v>45.762132579999999</v>
      </c>
      <c r="C150">
        <v>0.73253448200000004</v>
      </c>
      <c r="D150">
        <v>1.638588334</v>
      </c>
      <c r="E150">
        <v>1.78824E-3</v>
      </c>
      <c r="F150">
        <v>1.573885132</v>
      </c>
      <c r="G150" s="5" t="s">
        <v>51</v>
      </c>
      <c r="H150">
        <v>-6.4703202000000001E-2</v>
      </c>
      <c r="I150">
        <v>1.7566940000000001E-3</v>
      </c>
      <c r="J150">
        <v>39.35257782</v>
      </c>
      <c r="K150">
        <v>46.765188430000002</v>
      </c>
      <c r="L150">
        <v>45.484924470000003</v>
      </c>
      <c r="M150">
        <v>45.036284850000001</v>
      </c>
      <c r="N150">
        <v>2.734153069</v>
      </c>
      <c r="O150">
        <v>1.636059478</v>
      </c>
      <c r="P150">
        <v>1.639833579</v>
      </c>
      <c r="Q150">
        <v>1.6398719450000001</v>
      </c>
      <c r="R150">
        <v>2.643554913</v>
      </c>
      <c r="S150">
        <v>1.573840581</v>
      </c>
      <c r="T150">
        <v>1.5738768009999999</v>
      </c>
      <c r="U150">
        <v>1.5739380140000001</v>
      </c>
      <c r="V150">
        <v>-9.0598155999999999E-2</v>
      </c>
      <c r="W150">
        <v>-6.2218897000000002E-2</v>
      </c>
      <c r="X150">
        <v>-6.5956777999999994E-2</v>
      </c>
      <c r="Y150">
        <v>-6.5933931000000001E-2</v>
      </c>
      <c r="Z150">
        <v>8</v>
      </c>
      <c r="AA150">
        <v>0</v>
      </c>
      <c r="AB150">
        <v>106</v>
      </c>
      <c r="AC150">
        <v>0</v>
      </c>
      <c r="AD150">
        <v>56</v>
      </c>
      <c r="AE150">
        <v>80</v>
      </c>
      <c r="AF150">
        <v>0.48</v>
      </c>
      <c r="AG150">
        <v>0</v>
      </c>
      <c r="AH150">
        <v>1.5158</v>
      </c>
      <c r="AI150">
        <v>0</v>
      </c>
      <c r="AJ150">
        <v>4.9056000000000002E-2</v>
      </c>
      <c r="AK150">
        <v>2.0448559999999998</v>
      </c>
    </row>
    <row r="151" spans="1:37">
      <c r="A151" t="s">
        <v>20</v>
      </c>
      <c r="B151">
        <v>63.688231450000004</v>
      </c>
      <c r="C151">
        <v>1.845170701</v>
      </c>
      <c r="D151">
        <v>1.906595558</v>
      </c>
      <c r="E151">
        <v>5.3274560000000004E-3</v>
      </c>
      <c r="F151">
        <v>1.882547816</v>
      </c>
      <c r="G151">
        <v>4.3949200000000001E-3</v>
      </c>
      <c r="H151">
        <v>-2.4047741000000001E-2</v>
      </c>
      <c r="I151">
        <v>1.0596640000000001E-3</v>
      </c>
      <c r="J151">
        <v>64.143345819999993</v>
      </c>
      <c r="K151">
        <v>66.452944619999997</v>
      </c>
      <c r="L151">
        <v>61.537851689999997</v>
      </c>
      <c r="M151">
        <v>62.618783669999999</v>
      </c>
      <c r="N151">
        <v>1.9025315469999999</v>
      </c>
      <c r="O151">
        <v>1.9157589749999999</v>
      </c>
      <c r="P151">
        <v>1.903903093</v>
      </c>
      <c r="Q151">
        <v>1.904188615</v>
      </c>
      <c r="R151">
        <v>1.8794209019999999</v>
      </c>
      <c r="S151">
        <v>1.890108192</v>
      </c>
      <c r="T151">
        <v>1.880829385</v>
      </c>
      <c r="U151">
        <v>1.8798327850000001</v>
      </c>
      <c r="V151">
        <v>-2.3110644999999999E-2</v>
      </c>
      <c r="W151">
        <v>-2.5650783E-2</v>
      </c>
      <c r="X151">
        <v>-2.3073707999999998E-2</v>
      </c>
      <c r="Y151">
        <v>-2.4355829999999998E-2</v>
      </c>
      <c r="Z151">
        <v>22</v>
      </c>
      <c r="AA151">
        <v>47</v>
      </c>
      <c r="AB151">
        <v>23</v>
      </c>
      <c r="AC151">
        <v>45</v>
      </c>
      <c r="AD151">
        <v>96</v>
      </c>
      <c r="AE151">
        <v>17</v>
      </c>
      <c r="AF151">
        <v>1.32</v>
      </c>
      <c r="AG151">
        <v>1.88</v>
      </c>
      <c r="AH151">
        <v>0.32890000000000003</v>
      </c>
      <c r="AI151">
        <v>0.34433999999999998</v>
      </c>
      <c r="AJ151">
        <v>8.4096000000000004E-2</v>
      </c>
      <c r="AK151">
        <v>3.9573360000000002</v>
      </c>
    </row>
    <row r="152" spans="1:37">
      <c r="A152" t="s">
        <v>20</v>
      </c>
      <c r="B152">
        <v>59.3709664</v>
      </c>
      <c r="C152">
        <v>6.4009389759999999</v>
      </c>
      <c r="D152">
        <v>1.8092255230000001</v>
      </c>
      <c r="E152">
        <v>0.27657616299999999</v>
      </c>
      <c r="F152">
        <v>1.770072052</v>
      </c>
      <c r="G152">
        <v>0.27565560900000002</v>
      </c>
      <c r="H152">
        <v>-3.9153471000000002E-2</v>
      </c>
      <c r="I152">
        <v>1.0485659999999999E-3</v>
      </c>
      <c r="J152">
        <v>64.719785169999994</v>
      </c>
      <c r="K152">
        <v>63.021162369999999</v>
      </c>
      <c r="L152">
        <v>50.37195165</v>
      </c>
      <c r="M152">
        <v>62.652020409999999</v>
      </c>
      <c r="N152">
        <v>2.200362519</v>
      </c>
      <c r="O152">
        <v>1.6143269280000001</v>
      </c>
      <c r="P152">
        <v>1.6129871229999999</v>
      </c>
      <c r="Q152">
        <v>2.2042951409999998</v>
      </c>
      <c r="R152">
        <v>2.1599079479999999</v>
      </c>
      <c r="S152">
        <v>1.575207899</v>
      </c>
      <c r="T152">
        <v>1.5751003100000001</v>
      </c>
      <c r="U152">
        <v>2.1638690249999999</v>
      </c>
      <c r="V152">
        <v>-4.0454571000000002E-2</v>
      </c>
      <c r="W152">
        <v>-3.9119029E-2</v>
      </c>
      <c r="X152">
        <v>-3.7886812999999998E-2</v>
      </c>
      <c r="Y152">
        <v>-4.0426115999999998E-2</v>
      </c>
      <c r="Z152">
        <v>25</v>
      </c>
      <c r="AA152">
        <v>0</v>
      </c>
      <c r="AB152">
        <v>89</v>
      </c>
      <c r="AC152">
        <v>16</v>
      </c>
      <c r="AD152">
        <v>83</v>
      </c>
      <c r="AE152">
        <v>37</v>
      </c>
      <c r="AF152">
        <v>1.5</v>
      </c>
      <c r="AG152">
        <v>0</v>
      </c>
      <c r="AH152">
        <v>1.2726999999999999</v>
      </c>
      <c r="AI152">
        <v>0.122432</v>
      </c>
      <c r="AJ152">
        <v>7.2707999999999995E-2</v>
      </c>
      <c r="AK152">
        <v>2.9678399999999998</v>
      </c>
    </row>
    <row r="153" spans="1:37">
      <c r="A153" t="s">
        <v>20</v>
      </c>
      <c r="B153">
        <v>30.64873751</v>
      </c>
      <c r="C153">
        <v>2.4860277119999998</v>
      </c>
      <c r="D153">
        <v>1.887154558</v>
      </c>
      <c r="E153">
        <v>6.967071E-3</v>
      </c>
      <c r="F153">
        <v>1.8594155750000001</v>
      </c>
      <c r="G153">
        <v>3.940397E-3</v>
      </c>
      <c r="H153">
        <v>-2.7738982999999998E-2</v>
      </c>
      <c r="I153">
        <v>3.2021770000000001E-3</v>
      </c>
      <c r="J153">
        <v>28.80839456</v>
      </c>
      <c r="K153">
        <v>27.759629239999999</v>
      </c>
      <c r="L153">
        <v>32.063812689999999</v>
      </c>
      <c r="M153">
        <v>33.963113559999996</v>
      </c>
      <c r="N153">
        <v>1.876254117</v>
      </c>
      <c r="O153">
        <v>1.895651304</v>
      </c>
      <c r="P153">
        <v>1.887997828</v>
      </c>
      <c r="Q153">
        <v>1.8887149839999999</v>
      </c>
      <c r="R153">
        <v>1.8531697869999999</v>
      </c>
      <c r="S153">
        <v>1.8638922339999999</v>
      </c>
      <c r="T153">
        <v>1.8611637569999999</v>
      </c>
      <c r="U153">
        <v>1.859436522</v>
      </c>
      <c r="V153">
        <v>-2.308433E-2</v>
      </c>
      <c r="W153">
        <v>-3.175907E-2</v>
      </c>
      <c r="X153">
        <v>-2.6834071000000001E-2</v>
      </c>
      <c r="Y153">
        <v>-2.9278462000000002E-2</v>
      </c>
      <c r="Z153">
        <v>5</v>
      </c>
      <c r="AA153">
        <v>24</v>
      </c>
      <c r="AB153">
        <v>91</v>
      </c>
      <c r="AC153">
        <v>60</v>
      </c>
      <c r="AD153">
        <v>69</v>
      </c>
      <c r="AE153">
        <v>1</v>
      </c>
      <c r="AF153">
        <v>0.3</v>
      </c>
      <c r="AG153">
        <v>0.96</v>
      </c>
      <c r="AH153">
        <v>1.3012999999999999</v>
      </c>
      <c r="AI153">
        <v>0.45911999999999997</v>
      </c>
      <c r="AJ153">
        <v>6.0443999999999998E-2</v>
      </c>
      <c r="AK153">
        <v>3.080864</v>
      </c>
    </row>
    <row r="154" spans="1:37">
      <c r="A154" t="s">
        <v>20</v>
      </c>
      <c r="B154">
        <v>43.938918809999997</v>
      </c>
      <c r="C154">
        <v>0.39291661100000003</v>
      </c>
      <c r="D154">
        <v>1.874498803</v>
      </c>
      <c r="E154">
        <v>3.122667E-3</v>
      </c>
      <c r="F154">
        <v>1.8359610900000001</v>
      </c>
      <c r="G154">
        <v>3.6129500000000002E-3</v>
      </c>
      <c r="H154">
        <v>-3.8537713000000001E-2</v>
      </c>
      <c r="I154">
        <v>1.049302E-3</v>
      </c>
      <c r="J154">
        <v>43.831024229999997</v>
      </c>
      <c r="K154">
        <v>43.34217992</v>
      </c>
      <c r="L154">
        <v>44.318994689999997</v>
      </c>
      <c r="M154">
        <v>44.263476410000003</v>
      </c>
      <c r="N154">
        <v>1.87630656</v>
      </c>
      <c r="O154">
        <v>1.878677401</v>
      </c>
      <c r="P154">
        <v>1.8710829490000001</v>
      </c>
      <c r="Q154">
        <v>1.8719283010000001</v>
      </c>
      <c r="R154">
        <v>1.83958621</v>
      </c>
      <c r="S154">
        <v>1.839535342</v>
      </c>
      <c r="T154">
        <v>1.8319247139999999</v>
      </c>
      <c r="U154">
        <v>1.832798095</v>
      </c>
      <c r="V154">
        <v>-3.6720349999999999E-2</v>
      </c>
      <c r="W154">
        <v>-3.9142059E-2</v>
      </c>
      <c r="X154">
        <v>-3.9158235E-2</v>
      </c>
      <c r="Y154">
        <v>-3.9130206000000001E-2</v>
      </c>
      <c r="Z154">
        <v>5</v>
      </c>
      <c r="AA154">
        <v>16</v>
      </c>
      <c r="AB154">
        <v>86</v>
      </c>
      <c r="AC154">
        <v>27</v>
      </c>
      <c r="AD154">
        <v>81</v>
      </c>
      <c r="AE154">
        <v>35</v>
      </c>
      <c r="AF154">
        <v>0.3</v>
      </c>
      <c r="AG154">
        <v>0.64</v>
      </c>
      <c r="AH154">
        <v>1.2298</v>
      </c>
      <c r="AI154">
        <v>0.20660400000000001</v>
      </c>
      <c r="AJ154">
        <v>7.0956000000000005E-2</v>
      </c>
      <c r="AK154">
        <v>2.4473600000000002</v>
      </c>
    </row>
    <row r="155" spans="1:37">
      <c r="A155" t="s">
        <v>20</v>
      </c>
      <c r="B155">
        <v>50.622070780000001</v>
      </c>
      <c r="C155">
        <v>0.95947817400000002</v>
      </c>
      <c r="D155">
        <v>1.8602731269999999</v>
      </c>
      <c r="E155">
        <v>5.7592900000000002E-3</v>
      </c>
      <c r="F155">
        <v>1.8383050489999999</v>
      </c>
      <c r="G155">
        <v>5.7630190000000003E-3</v>
      </c>
      <c r="H155">
        <v>-2.1968077999999999E-2</v>
      </c>
      <c r="I155">
        <v>7.56768E-4</v>
      </c>
      <c r="J155">
        <v>51.116452619999997</v>
      </c>
      <c r="K155">
        <v>49.090727370000003</v>
      </c>
      <c r="L155">
        <v>50.613615699999997</v>
      </c>
      <c r="M155">
        <v>51.66748741</v>
      </c>
      <c r="N155">
        <v>1.850320309</v>
      </c>
      <c r="O155">
        <v>1.864207741</v>
      </c>
      <c r="P155">
        <v>1.863162765</v>
      </c>
      <c r="Q155">
        <v>1.863401691</v>
      </c>
      <c r="R155">
        <v>1.8283639279999999</v>
      </c>
      <c r="S155">
        <v>1.8411337480000001</v>
      </c>
      <c r="T155">
        <v>1.841257573</v>
      </c>
      <c r="U155">
        <v>1.8424649470000001</v>
      </c>
      <c r="V155">
        <v>-2.1956381000000001E-2</v>
      </c>
      <c r="W155">
        <v>-2.3073993000000001E-2</v>
      </c>
      <c r="X155">
        <v>-2.1905192E-2</v>
      </c>
      <c r="Y155">
        <v>-2.0936744E-2</v>
      </c>
      <c r="Z155">
        <v>29</v>
      </c>
      <c r="AA155">
        <v>41</v>
      </c>
      <c r="AB155">
        <v>62</v>
      </c>
      <c r="AC155">
        <v>10</v>
      </c>
      <c r="AD155">
        <v>75</v>
      </c>
      <c r="AE155">
        <v>33</v>
      </c>
      <c r="AF155">
        <v>1.74</v>
      </c>
      <c r="AG155">
        <v>1.64</v>
      </c>
      <c r="AH155">
        <v>0.88660000000000005</v>
      </c>
      <c r="AI155">
        <v>7.6520000000000005E-2</v>
      </c>
      <c r="AJ155">
        <v>6.5699999999999995E-2</v>
      </c>
      <c r="AK155">
        <v>4.4088200000000004</v>
      </c>
    </row>
    <row r="156" spans="1:37">
      <c r="A156" t="s">
        <v>20</v>
      </c>
      <c r="B156">
        <v>31.12438105</v>
      </c>
      <c r="C156">
        <v>0.40359787899999999</v>
      </c>
      <c r="D156">
        <v>2.7309652359999999</v>
      </c>
      <c r="E156">
        <v>0.112144172</v>
      </c>
      <c r="F156">
        <v>2.6709480839999999</v>
      </c>
      <c r="G156">
        <v>0.111933801</v>
      </c>
      <c r="H156">
        <v>-6.0017151999999997E-2</v>
      </c>
      <c r="I156">
        <v>6.0540099999999999E-4</v>
      </c>
      <c r="J156">
        <v>31.176003659999999</v>
      </c>
      <c r="K156">
        <v>30.542181930000002</v>
      </c>
      <c r="L156">
        <v>31.098818349999998</v>
      </c>
      <c r="M156">
        <v>31.680520269999999</v>
      </c>
      <c r="N156">
        <v>2.849007705</v>
      </c>
      <c r="O156">
        <v>2.837051722</v>
      </c>
      <c r="P156">
        <v>2.6189048690000001</v>
      </c>
      <c r="Q156">
        <v>2.6188966489999999</v>
      </c>
      <c r="R156">
        <v>2.7895476389999998</v>
      </c>
      <c r="S156">
        <v>2.776011419</v>
      </c>
      <c r="T156">
        <v>2.559109582</v>
      </c>
      <c r="U156">
        <v>2.559123697</v>
      </c>
      <c r="V156">
        <v>-5.9460065999999999E-2</v>
      </c>
      <c r="W156">
        <v>-6.1040302999999997E-2</v>
      </c>
      <c r="X156">
        <v>-5.9795287000000003E-2</v>
      </c>
      <c r="Y156">
        <v>-5.9772951999999997E-2</v>
      </c>
      <c r="Z156">
        <v>0</v>
      </c>
      <c r="AA156">
        <v>0</v>
      </c>
      <c r="AB156">
        <v>83</v>
      </c>
      <c r="AC156">
        <v>24</v>
      </c>
      <c r="AD156">
        <v>69</v>
      </c>
      <c r="AE156">
        <v>74</v>
      </c>
      <c r="AF156">
        <v>0</v>
      </c>
      <c r="AG156">
        <v>0</v>
      </c>
      <c r="AH156">
        <v>1.1869000000000001</v>
      </c>
      <c r="AI156">
        <v>0.18364800000000001</v>
      </c>
      <c r="AJ156">
        <v>6.0443999999999998E-2</v>
      </c>
      <c r="AK156">
        <v>1.430992</v>
      </c>
    </row>
    <row r="157" spans="1:37">
      <c r="A157" t="s">
        <v>20</v>
      </c>
      <c r="B157">
        <v>34.128169190000001</v>
      </c>
      <c r="C157">
        <v>1.0487357580000001</v>
      </c>
      <c r="D157">
        <v>2.617073414</v>
      </c>
      <c r="E157">
        <v>3.931726E-3</v>
      </c>
      <c r="F157">
        <v>2.558206486</v>
      </c>
      <c r="G157">
        <v>4.202463E-3</v>
      </c>
      <c r="H157">
        <v>-5.8866927999999999E-2</v>
      </c>
      <c r="I157">
        <v>1.9988459999999999E-3</v>
      </c>
      <c r="J157">
        <v>33.831211019999998</v>
      </c>
      <c r="K157">
        <v>32.605356149999999</v>
      </c>
      <c r="L157">
        <v>34.627896640000003</v>
      </c>
      <c r="M157">
        <v>35.448212949999999</v>
      </c>
      <c r="N157">
        <v>2.6226188019999999</v>
      </c>
      <c r="O157">
        <v>2.6164407029999999</v>
      </c>
      <c r="P157">
        <v>2.6176678980000001</v>
      </c>
      <c r="Q157">
        <v>2.6115662529999999</v>
      </c>
      <c r="R157">
        <v>2.5640755500000001</v>
      </c>
      <c r="S157">
        <v>2.5542160919999999</v>
      </c>
      <c r="T157">
        <v>2.5603092639999998</v>
      </c>
      <c r="U157">
        <v>2.5542250370000001</v>
      </c>
      <c r="V157">
        <v>-5.8543251999999997E-2</v>
      </c>
      <c r="W157">
        <v>-6.2224610999999999E-2</v>
      </c>
      <c r="X157">
        <v>-5.7358633999999999E-2</v>
      </c>
      <c r="Y157">
        <v>-5.7341216E-2</v>
      </c>
      <c r="Z157">
        <v>0</v>
      </c>
      <c r="AA157">
        <v>0</v>
      </c>
      <c r="AB157">
        <v>97</v>
      </c>
      <c r="AC157">
        <v>13</v>
      </c>
      <c r="AD157">
        <v>41</v>
      </c>
      <c r="AE157">
        <v>99</v>
      </c>
      <c r="AF157">
        <v>0</v>
      </c>
      <c r="AG157">
        <v>0</v>
      </c>
      <c r="AH157">
        <v>1.3871</v>
      </c>
      <c r="AI157">
        <v>9.9475999999999995E-2</v>
      </c>
      <c r="AJ157">
        <v>3.5915999999999997E-2</v>
      </c>
      <c r="AK157">
        <v>1.522492</v>
      </c>
    </row>
    <row r="158" spans="1:37">
      <c r="A158" t="s">
        <v>20</v>
      </c>
      <c r="B158">
        <v>23.027159260000001</v>
      </c>
      <c r="C158">
        <v>2.3842014229999999</v>
      </c>
      <c r="D158">
        <v>2.6614557680000002</v>
      </c>
      <c r="E158">
        <v>0.108377243</v>
      </c>
      <c r="F158">
        <v>2.6000848759999999</v>
      </c>
      <c r="G158">
        <v>0.10956903799999999</v>
      </c>
      <c r="H158">
        <v>-6.1370892000000003E-2</v>
      </c>
      <c r="I158">
        <v>2.3068260000000001E-3</v>
      </c>
      <c r="J158">
        <v>24.03465705</v>
      </c>
      <c r="K158">
        <v>13.8252612</v>
      </c>
      <c r="L158">
        <v>25.310045580000001</v>
      </c>
      <c r="M158">
        <v>19.736775160000001</v>
      </c>
      <c r="N158">
        <v>2.5844243040000001</v>
      </c>
      <c r="O158">
        <v>2.5897745579999998</v>
      </c>
      <c r="P158">
        <v>2.8147236470000001</v>
      </c>
      <c r="Q158">
        <v>2.5852193529999998</v>
      </c>
      <c r="R158">
        <v>2.5246470670000001</v>
      </c>
      <c r="S158">
        <v>2.5189964979999999</v>
      </c>
      <c r="T158">
        <v>2.755021159</v>
      </c>
      <c r="U158">
        <v>2.5205864020000002</v>
      </c>
      <c r="V158">
        <v>-5.9777236999999997E-2</v>
      </c>
      <c r="W158">
        <v>-7.0778060000000004E-2</v>
      </c>
      <c r="X158">
        <v>-5.9702487999999998E-2</v>
      </c>
      <c r="Y158">
        <v>-6.4632950999999994E-2</v>
      </c>
      <c r="Z158">
        <v>0</v>
      </c>
      <c r="AA158">
        <v>0</v>
      </c>
      <c r="AB158">
        <v>75</v>
      </c>
      <c r="AC158">
        <v>53</v>
      </c>
      <c r="AD158">
        <v>84</v>
      </c>
      <c r="AE158">
        <v>38</v>
      </c>
      <c r="AF158">
        <v>0</v>
      </c>
      <c r="AG158">
        <v>0</v>
      </c>
      <c r="AH158">
        <v>1.0725</v>
      </c>
      <c r="AI158">
        <v>0.40555600000000003</v>
      </c>
      <c r="AJ158">
        <v>7.3583999999999997E-2</v>
      </c>
      <c r="AK158">
        <v>1.5516399999999999</v>
      </c>
    </row>
    <row r="159" spans="1:37">
      <c r="A159" t="s">
        <v>20</v>
      </c>
      <c r="B159">
        <v>44.500119939999998</v>
      </c>
      <c r="C159">
        <v>8.7175693679999995</v>
      </c>
      <c r="D159">
        <v>1.8770896720000001</v>
      </c>
      <c r="E159">
        <v>4.1577805000000002E-2</v>
      </c>
      <c r="F159">
        <v>1.840007384</v>
      </c>
      <c r="G159">
        <v>4.0064001000000002E-2</v>
      </c>
      <c r="H159">
        <v>-3.7082287999999998E-2</v>
      </c>
      <c r="I159">
        <v>1.520836E-3</v>
      </c>
      <c r="J159">
        <v>38.292092019999998</v>
      </c>
      <c r="K159">
        <v>0</v>
      </c>
      <c r="L159">
        <v>56.828520900000001</v>
      </c>
      <c r="M159">
        <v>38.379746900000001</v>
      </c>
      <c r="N159">
        <v>1.836597995</v>
      </c>
      <c r="O159">
        <v>2.1736351429999998</v>
      </c>
      <c r="P159">
        <v>1.860411413</v>
      </c>
      <c r="Q159">
        <v>1.934259607</v>
      </c>
      <c r="R159">
        <v>1.801137263</v>
      </c>
      <c r="S159">
        <v>2.1736351429999998</v>
      </c>
      <c r="T159">
        <v>1.823742003</v>
      </c>
      <c r="U159">
        <v>1.8951428859999999</v>
      </c>
      <c r="V159">
        <v>-3.5460732000000002E-2</v>
      </c>
      <c r="W159">
        <v>0</v>
      </c>
      <c r="X159">
        <v>-3.666941E-2</v>
      </c>
      <c r="Y159">
        <v>-3.9116721E-2</v>
      </c>
      <c r="Z159">
        <v>0</v>
      </c>
      <c r="AA159">
        <v>18</v>
      </c>
      <c r="AB159">
        <v>94</v>
      </c>
      <c r="AC159">
        <v>67</v>
      </c>
      <c r="AD159">
        <v>43</v>
      </c>
      <c r="AE159">
        <v>28</v>
      </c>
      <c r="AF159">
        <v>0</v>
      </c>
      <c r="AG159">
        <v>0.72</v>
      </c>
      <c r="AH159">
        <v>1.3442000000000001</v>
      </c>
      <c r="AI159">
        <v>0.51268400000000003</v>
      </c>
      <c r="AJ159">
        <v>3.7668E-2</v>
      </c>
      <c r="AK159">
        <v>2.6145520000000002</v>
      </c>
    </row>
    <row r="160" spans="1:37">
      <c r="A160" t="s">
        <v>20</v>
      </c>
      <c r="B160">
        <v>28.22359625</v>
      </c>
      <c r="C160">
        <v>1.473982919</v>
      </c>
      <c r="D160">
        <v>1.8971789649999999</v>
      </c>
      <c r="E160">
        <v>7.0755330000000002E-3</v>
      </c>
      <c r="F160">
        <v>1.8315512190000001</v>
      </c>
      <c r="G160">
        <v>4.130646E-3</v>
      </c>
      <c r="H160">
        <v>-6.5627746000000001E-2</v>
      </c>
      <c r="I160">
        <v>3.1846750000000001E-3</v>
      </c>
      <c r="J160">
        <v>27.561699319999999</v>
      </c>
      <c r="K160">
        <v>27.280245499999999</v>
      </c>
      <c r="L160">
        <v>27.283510369999998</v>
      </c>
      <c r="M160">
        <v>30.768929809999999</v>
      </c>
      <c r="N160">
        <v>1.894955094</v>
      </c>
      <c r="O160">
        <v>1.8923704939999999</v>
      </c>
      <c r="P160">
        <v>1.909281717</v>
      </c>
      <c r="Q160">
        <v>1.8921085529999999</v>
      </c>
      <c r="R160">
        <v>1.8302292449999999</v>
      </c>
      <c r="S160">
        <v>1.830149005</v>
      </c>
      <c r="T160">
        <v>1.838428044</v>
      </c>
      <c r="U160">
        <v>1.827398581</v>
      </c>
      <c r="V160">
        <v>-6.4725849000000002E-2</v>
      </c>
      <c r="W160">
        <v>-6.2221488999999998E-2</v>
      </c>
      <c r="X160">
        <v>-7.0853673000000006E-2</v>
      </c>
      <c r="Y160">
        <v>-6.4709972000000004E-2</v>
      </c>
      <c r="Z160">
        <v>0</v>
      </c>
      <c r="AA160">
        <v>11</v>
      </c>
      <c r="AB160">
        <v>44</v>
      </c>
      <c r="AC160">
        <v>133</v>
      </c>
      <c r="AD160">
        <v>30</v>
      </c>
      <c r="AE160">
        <v>32</v>
      </c>
      <c r="AF160">
        <v>0</v>
      </c>
      <c r="AG160">
        <v>0.44</v>
      </c>
      <c r="AH160">
        <v>0.62919999999999998</v>
      </c>
      <c r="AI160">
        <v>1.0177160000000001</v>
      </c>
      <c r="AJ160">
        <v>2.6280000000000001E-2</v>
      </c>
      <c r="AK160">
        <v>2.1131959999999999</v>
      </c>
    </row>
    <row r="161" spans="1:37">
      <c r="A161" t="s">
        <v>20</v>
      </c>
      <c r="B161">
        <v>36.542378919999997</v>
      </c>
      <c r="C161">
        <v>0.61478107100000001</v>
      </c>
      <c r="D161">
        <v>2.571539842</v>
      </c>
      <c r="E161">
        <v>1.7698709E-2</v>
      </c>
      <c r="F161">
        <v>2.5271868689999999</v>
      </c>
      <c r="G161">
        <v>1.1504693999999999E-2</v>
      </c>
      <c r="H161">
        <v>-4.4352972999999997E-2</v>
      </c>
      <c r="I161">
        <v>6.8061900000000002E-3</v>
      </c>
      <c r="J161">
        <v>35.998033329999998</v>
      </c>
      <c r="K161">
        <v>35.89105567</v>
      </c>
      <c r="L161">
        <v>36.944666699999999</v>
      </c>
      <c r="M161">
        <v>37.335759979999999</v>
      </c>
      <c r="N161">
        <v>2.6004543199999999</v>
      </c>
      <c r="O161">
        <v>2.5710674180000002</v>
      </c>
      <c r="P161">
        <v>2.5548457820000001</v>
      </c>
      <c r="Q161">
        <v>2.559791846</v>
      </c>
      <c r="R161">
        <v>2.5443126829999998</v>
      </c>
      <c r="S161">
        <v>2.5306469840000001</v>
      </c>
      <c r="T161">
        <v>2.5144164299999998</v>
      </c>
      <c r="U161">
        <v>2.5193713789999999</v>
      </c>
      <c r="V161">
        <v>-5.6141637000000001E-2</v>
      </c>
      <c r="W161">
        <v>-4.0420433999999998E-2</v>
      </c>
      <c r="X161">
        <v>-4.0429352000000002E-2</v>
      </c>
      <c r="Y161">
        <v>-4.0420467000000002E-2</v>
      </c>
      <c r="Z161">
        <v>5</v>
      </c>
      <c r="AA161">
        <v>0</v>
      </c>
      <c r="AB161">
        <v>114</v>
      </c>
      <c r="AC161">
        <v>14</v>
      </c>
      <c r="AD161">
        <v>82</v>
      </c>
      <c r="AE161">
        <v>35</v>
      </c>
      <c r="AF161">
        <v>0.3</v>
      </c>
      <c r="AG161">
        <v>0</v>
      </c>
      <c r="AH161">
        <v>1.6302000000000001</v>
      </c>
      <c r="AI161">
        <v>0.107128</v>
      </c>
      <c r="AJ161">
        <v>7.1831999999999993E-2</v>
      </c>
      <c r="AK161">
        <v>2.1091600000000001</v>
      </c>
    </row>
    <row r="162" spans="1:37">
      <c r="A162" t="s">
        <v>20</v>
      </c>
      <c r="B162">
        <v>59.630176679999998</v>
      </c>
      <c r="C162">
        <v>4.4615870270000002</v>
      </c>
      <c r="D162">
        <v>1.7465430239999999</v>
      </c>
      <c r="E162">
        <v>1.510375E-3</v>
      </c>
      <c r="F162">
        <v>1.7243293980000001</v>
      </c>
      <c r="G162">
        <v>2.8670509999999998E-3</v>
      </c>
      <c r="H162">
        <v>-2.2213626E-2</v>
      </c>
      <c r="I162">
        <v>2.3754800000000001E-3</v>
      </c>
      <c r="J162">
        <v>58.582210099999998</v>
      </c>
      <c r="K162">
        <v>62.242119799999998</v>
      </c>
      <c r="L162">
        <v>52.911878829999999</v>
      </c>
      <c r="M162">
        <v>64.784498009999993</v>
      </c>
      <c r="N162">
        <v>1.746115377</v>
      </c>
      <c r="O162">
        <v>1.7485979819999999</v>
      </c>
      <c r="P162">
        <v>1.7470322730000001</v>
      </c>
      <c r="Q162">
        <v>1.744426464</v>
      </c>
      <c r="R162">
        <v>1.727912747</v>
      </c>
      <c r="S162">
        <v>1.725448528</v>
      </c>
      <c r="T162">
        <v>1.723944173</v>
      </c>
      <c r="U162">
        <v>1.720012144</v>
      </c>
      <c r="V162">
        <v>-1.8202630000000001E-2</v>
      </c>
      <c r="W162">
        <v>-2.3149454E-2</v>
      </c>
      <c r="X162">
        <v>-2.30881E-2</v>
      </c>
      <c r="Y162">
        <v>-2.441432E-2</v>
      </c>
      <c r="Z162">
        <v>29</v>
      </c>
      <c r="AA162">
        <v>93</v>
      </c>
      <c r="AB162">
        <v>48</v>
      </c>
      <c r="AC162">
        <v>0</v>
      </c>
      <c r="AD162">
        <v>78</v>
      </c>
      <c r="AE162">
        <v>2</v>
      </c>
      <c r="AF162">
        <v>1.74</v>
      </c>
      <c r="AG162">
        <v>3.72</v>
      </c>
      <c r="AH162">
        <v>0.68640000000000001</v>
      </c>
      <c r="AI162">
        <v>0</v>
      </c>
      <c r="AJ162">
        <v>6.8328E-2</v>
      </c>
      <c r="AK162">
        <v>6.214728</v>
      </c>
    </row>
    <row r="163" spans="1:37">
      <c r="A163" t="s">
        <v>20</v>
      </c>
      <c r="B163">
        <v>34.468937369999999</v>
      </c>
      <c r="C163">
        <v>1.39033897</v>
      </c>
      <c r="D163">
        <v>2.0456456030000001</v>
      </c>
      <c r="E163">
        <v>5.8500519999999997E-3</v>
      </c>
      <c r="F163">
        <v>2.0555381100000001</v>
      </c>
      <c r="G163">
        <v>5.8438429999999996E-3</v>
      </c>
      <c r="H163">
        <v>9.892507E-3</v>
      </c>
      <c r="I163" s="5" t="s">
        <v>52</v>
      </c>
      <c r="J163">
        <v>33.353342820000002</v>
      </c>
      <c r="K163">
        <v>32.92743222</v>
      </c>
      <c r="L163">
        <v>35.258371689999997</v>
      </c>
      <c r="M163">
        <v>36.336602739999996</v>
      </c>
      <c r="N163">
        <v>2.0360958359999999</v>
      </c>
      <c r="O163">
        <v>2.0456392559999999</v>
      </c>
      <c r="P163">
        <v>2.050555278</v>
      </c>
      <c r="Q163">
        <v>2.0502920439999999</v>
      </c>
      <c r="R163">
        <v>2.0459909019999998</v>
      </c>
      <c r="S163">
        <v>2.0555558739999999</v>
      </c>
      <c r="T163">
        <v>2.060456721</v>
      </c>
      <c r="U163">
        <v>2.0601489439999998</v>
      </c>
      <c r="V163">
        <v>9.8950659999999992E-3</v>
      </c>
      <c r="W163">
        <v>9.9166180000000003E-3</v>
      </c>
      <c r="X163">
        <v>9.9014429999999994E-3</v>
      </c>
      <c r="Y163">
        <v>9.8569E-3</v>
      </c>
      <c r="Z163">
        <v>198</v>
      </c>
      <c r="AA163">
        <v>0</v>
      </c>
      <c r="AB163">
        <v>6</v>
      </c>
      <c r="AC163">
        <v>10</v>
      </c>
      <c r="AD163">
        <v>5</v>
      </c>
      <c r="AE163">
        <v>31</v>
      </c>
      <c r="AF163">
        <v>11.88</v>
      </c>
      <c r="AG163">
        <v>0</v>
      </c>
      <c r="AH163">
        <v>8.5800000000000001E-2</v>
      </c>
      <c r="AI163">
        <v>7.6520000000000005E-2</v>
      </c>
      <c r="AJ163">
        <v>4.3800000000000002E-3</v>
      </c>
      <c r="AK163">
        <v>12.0467</v>
      </c>
    </row>
    <row r="164" spans="1:37">
      <c r="A164" t="s">
        <v>20</v>
      </c>
      <c r="B164">
        <v>28.600633080000001</v>
      </c>
      <c r="C164">
        <v>1.9658928520000001</v>
      </c>
      <c r="D164">
        <v>2.1628207650000002</v>
      </c>
      <c r="E164">
        <v>1.4713818E-2</v>
      </c>
      <c r="F164">
        <v>2.1650874739999999</v>
      </c>
      <c r="G164">
        <v>7.013455E-3</v>
      </c>
      <c r="H164">
        <v>2.266709E-3</v>
      </c>
      <c r="I164">
        <v>8.2429979999999996E-3</v>
      </c>
      <c r="J164">
        <v>30.770040869999999</v>
      </c>
      <c r="K164">
        <v>25.425741330000001</v>
      </c>
      <c r="L164">
        <v>28.814262589999998</v>
      </c>
      <c r="M164">
        <v>29.39248753</v>
      </c>
      <c r="N164">
        <v>2.1431374719999998</v>
      </c>
      <c r="O164">
        <v>2.154360644</v>
      </c>
      <c r="P164">
        <v>2.179232791</v>
      </c>
      <c r="Q164">
        <v>2.1745521540000001</v>
      </c>
      <c r="R164">
        <v>2.1542809730000001</v>
      </c>
      <c r="S164">
        <v>2.1642111869999998</v>
      </c>
      <c r="T164">
        <v>2.1732700280000001</v>
      </c>
      <c r="U164">
        <v>2.1685877090000001</v>
      </c>
      <c r="V164">
        <v>1.1143501E-2</v>
      </c>
      <c r="W164">
        <v>9.8505429999999998E-3</v>
      </c>
      <c r="X164">
        <v>-5.9627630000000003E-3</v>
      </c>
      <c r="Y164">
        <v>-5.9644449999999996E-3</v>
      </c>
      <c r="Z164">
        <v>204</v>
      </c>
      <c r="AA164">
        <v>5</v>
      </c>
      <c r="AB164">
        <v>8</v>
      </c>
      <c r="AC164">
        <v>26</v>
      </c>
      <c r="AD164">
        <v>5</v>
      </c>
      <c r="AE164">
        <v>2</v>
      </c>
      <c r="AF164">
        <v>12.24</v>
      </c>
      <c r="AG164">
        <v>0.2</v>
      </c>
      <c r="AH164">
        <v>0.1144</v>
      </c>
      <c r="AI164">
        <v>0.19895199999999999</v>
      </c>
      <c r="AJ164">
        <v>4.3800000000000002E-3</v>
      </c>
      <c r="AK164">
        <v>12.757732000000001</v>
      </c>
    </row>
    <row r="165" spans="1:37">
      <c r="A165" t="s">
        <v>20</v>
      </c>
      <c r="B165">
        <v>21.676207779999999</v>
      </c>
      <c r="C165">
        <v>1.6805175729999999</v>
      </c>
      <c r="D165">
        <v>2.341103242</v>
      </c>
      <c r="E165">
        <v>0.47878683300000002</v>
      </c>
      <c r="F165">
        <v>2.263745739</v>
      </c>
      <c r="G165">
        <v>0.48718482899999999</v>
      </c>
      <c r="H165">
        <v>-7.7357502999999994E-2</v>
      </c>
      <c r="I165">
        <v>8.4109990000000006E-3</v>
      </c>
      <c r="J165">
        <v>20.711396820000001</v>
      </c>
      <c r="K165">
        <v>24.039587430000001</v>
      </c>
      <c r="L165">
        <v>39.16840165</v>
      </c>
      <c r="M165">
        <v>20.277639090000001</v>
      </c>
      <c r="N165">
        <v>2.6795896560000001</v>
      </c>
      <c r="O165">
        <v>2.6797236560000002</v>
      </c>
      <c r="P165">
        <v>2.5498552339999998</v>
      </c>
      <c r="Q165">
        <v>1.663996413</v>
      </c>
      <c r="R165">
        <v>2.6075914720000002</v>
      </c>
      <c r="S165">
        <v>2.608882994</v>
      </c>
      <c r="T165">
        <v>2.5094421530000002</v>
      </c>
      <c r="U165">
        <v>1.5747627500000001</v>
      </c>
      <c r="V165">
        <v>-7.1998184000000007E-2</v>
      </c>
      <c r="W165">
        <v>-7.0840661999999999E-2</v>
      </c>
      <c r="X165">
        <v>-4.0413080999999997E-2</v>
      </c>
      <c r="Y165">
        <v>-8.9233663000000005E-2</v>
      </c>
      <c r="Z165">
        <v>6</v>
      </c>
      <c r="AA165">
        <v>0</v>
      </c>
      <c r="AB165">
        <v>121</v>
      </c>
      <c r="AC165">
        <v>11</v>
      </c>
      <c r="AD165">
        <v>67</v>
      </c>
      <c r="AE165">
        <v>45</v>
      </c>
      <c r="AF165">
        <v>0.36</v>
      </c>
      <c r="AG165">
        <v>0</v>
      </c>
      <c r="AH165">
        <v>1.7302999999999999</v>
      </c>
      <c r="AI165">
        <v>8.4171999999999997E-2</v>
      </c>
      <c r="AJ165">
        <v>5.8692000000000001E-2</v>
      </c>
      <c r="AK165">
        <v>2.2331639999999999</v>
      </c>
    </row>
    <row r="166" spans="1:37">
      <c r="A166" t="s">
        <v>20</v>
      </c>
      <c r="B166">
        <v>25.54727145</v>
      </c>
      <c r="C166">
        <v>29.944065129999998</v>
      </c>
      <c r="D166">
        <v>2.3773502419999999</v>
      </c>
      <c r="E166">
        <v>0.544192656</v>
      </c>
      <c r="F166">
        <v>2.2997792260000001</v>
      </c>
      <c r="G166">
        <v>0.51346107799999996</v>
      </c>
      <c r="H166">
        <v>-7.7571016000000007E-2</v>
      </c>
      <c r="I166">
        <v>3.0742586999999998E-2</v>
      </c>
      <c r="J166">
        <v>5.4912806649999997</v>
      </c>
      <c r="K166">
        <v>3.2752903839999998</v>
      </c>
      <c r="L166">
        <v>67.875243310000002</v>
      </c>
      <c r="M166">
        <v>94.975816120000005</v>
      </c>
      <c r="N166">
        <v>2.7382021929999998</v>
      </c>
      <c r="O166">
        <v>2.7856159279999999</v>
      </c>
      <c r="P166">
        <v>1.6082326060000001</v>
      </c>
      <c r="Q166">
        <v>2.2104975169999999</v>
      </c>
      <c r="R166">
        <v>2.6412509399999999</v>
      </c>
      <c r="S166">
        <v>2.6840309539999998</v>
      </c>
      <c r="T166">
        <v>1.5740557850000001</v>
      </c>
      <c r="U166">
        <v>2.1457392550000001</v>
      </c>
      <c r="V166">
        <v>-9.6951253000000001E-2</v>
      </c>
      <c r="W166">
        <v>-0.10158497399999999</v>
      </c>
      <c r="X166">
        <v>-3.4176821000000003E-2</v>
      </c>
      <c r="Y166">
        <v>-6.4758261999999997E-2</v>
      </c>
      <c r="Z166">
        <v>24</v>
      </c>
      <c r="AA166">
        <v>0</v>
      </c>
      <c r="AB166">
        <v>109</v>
      </c>
      <c r="AC166">
        <v>20</v>
      </c>
      <c r="AD166">
        <v>72</v>
      </c>
      <c r="AE166">
        <v>25</v>
      </c>
      <c r="AF166">
        <v>1.44</v>
      </c>
      <c r="AG166">
        <v>0</v>
      </c>
      <c r="AH166">
        <v>1.5587</v>
      </c>
      <c r="AI166">
        <v>0.15304000000000001</v>
      </c>
      <c r="AJ166">
        <v>6.3072000000000003E-2</v>
      </c>
      <c r="AK166">
        <v>3.2148119999999998</v>
      </c>
    </row>
    <row r="167" spans="1:37">
      <c r="A167" t="s">
        <v>20</v>
      </c>
      <c r="B167">
        <v>29.200370190000001</v>
      </c>
      <c r="C167">
        <v>0.44175536300000001</v>
      </c>
      <c r="D167">
        <v>1.9138372450000001</v>
      </c>
      <c r="E167">
        <v>3.6544870000000001E-3</v>
      </c>
      <c r="F167">
        <v>1.830653029</v>
      </c>
      <c r="G167">
        <v>3.453514E-3</v>
      </c>
      <c r="H167">
        <v>-8.3184216000000005E-2</v>
      </c>
      <c r="I167">
        <v>1.9629040000000001E-3</v>
      </c>
      <c r="J167">
        <v>29.054288750000001</v>
      </c>
      <c r="K167">
        <v>28.600905359999999</v>
      </c>
      <c r="L167">
        <v>29.326188179999999</v>
      </c>
      <c r="M167">
        <v>29.820098489999999</v>
      </c>
      <c r="N167">
        <v>1.915673373</v>
      </c>
      <c r="O167">
        <v>1.915156962</v>
      </c>
      <c r="P167">
        <v>1.9169138050000001</v>
      </c>
      <c r="Q167">
        <v>1.9076048409999999</v>
      </c>
      <c r="R167">
        <v>1.8349441740000001</v>
      </c>
      <c r="S167">
        <v>1.829480177</v>
      </c>
      <c r="T167">
        <v>1.832489147</v>
      </c>
      <c r="U167">
        <v>1.825698617</v>
      </c>
      <c r="V167">
        <v>-8.0729199000000001E-2</v>
      </c>
      <c r="W167">
        <v>-8.5676785000000005E-2</v>
      </c>
      <c r="X167">
        <v>-8.4424658E-2</v>
      </c>
      <c r="Y167">
        <v>-8.1906224E-2</v>
      </c>
      <c r="Z167">
        <v>0</v>
      </c>
      <c r="AA167">
        <v>10</v>
      </c>
      <c r="AB167">
        <v>74</v>
      </c>
      <c r="AC167">
        <v>0</v>
      </c>
      <c r="AD167">
        <v>150</v>
      </c>
      <c r="AE167">
        <v>16</v>
      </c>
      <c r="AF167">
        <v>0</v>
      </c>
      <c r="AG167">
        <v>0.4</v>
      </c>
      <c r="AH167">
        <v>1.0582</v>
      </c>
      <c r="AI167">
        <v>0</v>
      </c>
      <c r="AJ167">
        <v>0.13139999999999999</v>
      </c>
      <c r="AK167">
        <v>1.5895999999999999</v>
      </c>
    </row>
    <row r="168" spans="1:37">
      <c r="A168" t="s">
        <v>20</v>
      </c>
      <c r="B168">
        <v>34.740425000000002</v>
      </c>
      <c r="C168">
        <v>0.854982083</v>
      </c>
      <c r="D168">
        <v>1.8433161730000001</v>
      </c>
      <c r="E168">
        <v>8.9343340000000004E-3</v>
      </c>
      <c r="F168">
        <v>1.814333854</v>
      </c>
      <c r="G168">
        <v>8.3552330000000001E-3</v>
      </c>
      <c r="H168">
        <v>-2.8982318E-2</v>
      </c>
      <c r="I168">
        <v>1.0387770000000001E-3</v>
      </c>
      <c r="J168">
        <v>36.046763970000001</v>
      </c>
      <c r="K168">
        <v>34.237432239999997</v>
      </c>
      <c r="L168">
        <v>33.772284040000002</v>
      </c>
      <c r="M168">
        <v>34.90521974</v>
      </c>
      <c r="N168">
        <v>1.8279081100000001</v>
      </c>
      <c r="O168">
        <v>1.849221781</v>
      </c>
      <c r="P168">
        <v>1.849030817</v>
      </c>
      <c r="Q168">
        <v>1.8471039819999999</v>
      </c>
      <c r="R168">
        <v>1.7998770589999999</v>
      </c>
      <c r="S168">
        <v>1.818675007</v>
      </c>
      <c r="T168">
        <v>1.819732277</v>
      </c>
      <c r="U168">
        <v>1.819051075</v>
      </c>
      <c r="V168">
        <v>-2.8031051000000001E-2</v>
      </c>
      <c r="W168">
        <v>-3.0546773999999999E-2</v>
      </c>
      <c r="X168">
        <v>-2.9298540000000001E-2</v>
      </c>
      <c r="Y168">
        <v>-2.8052906999999998E-2</v>
      </c>
      <c r="Z168">
        <v>44</v>
      </c>
      <c r="AA168">
        <v>39</v>
      </c>
      <c r="AB168">
        <v>27</v>
      </c>
      <c r="AC168">
        <v>98</v>
      </c>
      <c r="AD168">
        <v>8</v>
      </c>
      <c r="AE168">
        <v>34</v>
      </c>
      <c r="AF168">
        <v>2.64</v>
      </c>
      <c r="AG168">
        <v>1.56</v>
      </c>
      <c r="AH168">
        <v>0.3861</v>
      </c>
      <c r="AI168">
        <v>0.74989600000000001</v>
      </c>
      <c r="AJ168">
        <v>7.0080000000000003E-3</v>
      </c>
      <c r="AK168">
        <v>5.3430039999999996</v>
      </c>
    </row>
    <row r="169" spans="1:37">
      <c r="A169" t="s">
        <v>20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58.477272249999999</v>
      </c>
      <c r="N169">
        <v>0</v>
      </c>
      <c r="O169">
        <v>0</v>
      </c>
      <c r="P169">
        <v>0</v>
      </c>
      <c r="Q169">
        <v>1.8909176480000001</v>
      </c>
      <c r="R169">
        <v>0</v>
      </c>
      <c r="S169">
        <v>0</v>
      </c>
      <c r="T169">
        <v>0</v>
      </c>
      <c r="U169">
        <v>1.860363679</v>
      </c>
      <c r="V169">
        <v>0</v>
      </c>
      <c r="W169">
        <v>0</v>
      </c>
      <c r="X169">
        <v>0</v>
      </c>
      <c r="Y169">
        <v>-3.0553969E-2</v>
      </c>
      <c r="Z169">
        <v>44</v>
      </c>
      <c r="AA169">
        <v>26</v>
      </c>
      <c r="AB169">
        <v>54</v>
      </c>
      <c r="AC169">
        <v>8</v>
      </c>
      <c r="AD169">
        <v>72</v>
      </c>
      <c r="AE169">
        <v>46</v>
      </c>
      <c r="AF169">
        <v>2.64</v>
      </c>
      <c r="AG169">
        <v>1.04</v>
      </c>
      <c r="AH169">
        <v>0.7722</v>
      </c>
      <c r="AI169">
        <v>6.1216E-2</v>
      </c>
      <c r="AJ169">
        <v>6.3072000000000003E-2</v>
      </c>
      <c r="AK169">
        <v>4.5764880000000003</v>
      </c>
    </row>
    <row r="170" spans="1:37">
      <c r="A170" t="s">
        <v>20</v>
      </c>
      <c r="B170">
        <v>43.270024130000003</v>
      </c>
      <c r="C170">
        <v>1.1055469090000001</v>
      </c>
      <c r="D170">
        <v>1.855316631</v>
      </c>
      <c r="E170">
        <v>7.1517869999999997E-3</v>
      </c>
      <c r="F170">
        <v>1.817430431</v>
      </c>
      <c r="G170">
        <v>6.1421649999999998E-3</v>
      </c>
      <c r="H170">
        <v>-3.7886200000000002E-2</v>
      </c>
      <c r="I170">
        <v>1.5112470000000001E-3</v>
      </c>
      <c r="J170">
        <v>44.622878360000001</v>
      </c>
      <c r="K170">
        <v>43.93852219</v>
      </c>
      <c r="L170">
        <v>42.792686080000003</v>
      </c>
      <c r="M170">
        <v>41.726009869999999</v>
      </c>
      <c r="N170">
        <v>1.8445149000000001</v>
      </c>
      <c r="O170">
        <v>1.853202588</v>
      </c>
      <c r="P170">
        <v>1.8619106649999999</v>
      </c>
      <c r="Q170">
        <v>1.861638369</v>
      </c>
      <c r="R170">
        <v>1.8090832139999999</v>
      </c>
      <c r="S170">
        <v>1.814058927</v>
      </c>
      <c r="T170">
        <v>1.8240635759999999</v>
      </c>
      <c r="U170">
        <v>1.8225160060000001</v>
      </c>
      <c r="V170">
        <v>-3.5431685999999997E-2</v>
      </c>
      <c r="W170">
        <v>-3.9143661000000003E-2</v>
      </c>
      <c r="X170">
        <v>-3.7847089E-2</v>
      </c>
      <c r="Y170">
        <v>-3.9122363E-2</v>
      </c>
      <c r="Z170">
        <v>18</v>
      </c>
      <c r="AA170">
        <v>17</v>
      </c>
      <c r="AB170">
        <v>89</v>
      </c>
      <c r="AC170">
        <v>9</v>
      </c>
      <c r="AD170">
        <v>79</v>
      </c>
      <c r="AE170">
        <v>38</v>
      </c>
      <c r="AF170">
        <v>1.08</v>
      </c>
      <c r="AG170">
        <v>0.68</v>
      </c>
      <c r="AH170">
        <v>1.2726999999999999</v>
      </c>
      <c r="AI170">
        <v>6.8867999999999999E-2</v>
      </c>
      <c r="AJ170">
        <v>6.9204000000000002E-2</v>
      </c>
      <c r="AK170">
        <v>3.1707719999999999</v>
      </c>
    </row>
    <row r="171" spans="1:37">
      <c r="A171" t="s">
        <v>20</v>
      </c>
      <c r="B171">
        <v>50.747946839999997</v>
      </c>
      <c r="C171">
        <v>3.8055614439999998</v>
      </c>
      <c r="D171">
        <v>1.908771306</v>
      </c>
      <c r="E171">
        <v>3.0178396E-2</v>
      </c>
      <c r="F171">
        <v>1.877016724</v>
      </c>
      <c r="G171">
        <v>2.7653192E-2</v>
      </c>
      <c r="H171">
        <v>-3.1754582000000003E-2</v>
      </c>
      <c r="I171">
        <v>3.0051959999999999E-3</v>
      </c>
      <c r="J171">
        <v>49.067669850000001</v>
      </c>
      <c r="K171">
        <v>57.107629279999998</v>
      </c>
      <c r="L171">
        <v>49.770573450000001</v>
      </c>
      <c r="M171">
        <v>47.045914779999997</v>
      </c>
      <c r="N171">
        <v>1.859562945</v>
      </c>
      <c r="O171">
        <v>1.9089647970000001</v>
      </c>
      <c r="P171">
        <v>1.930099633</v>
      </c>
      <c r="Q171">
        <v>1.9364578480000001</v>
      </c>
      <c r="R171">
        <v>1.832717771</v>
      </c>
      <c r="S171">
        <v>1.8747610240000001</v>
      </c>
      <c r="T171">
        <v>1.898339207</v>
      </c>
      <c r="U171">
        <v>1.902248892</v>
      </c>
      <c r="V171">
        <v>-2.6845173999999999E-2</v>
      </c>
      <c r="W171">
        <v>-3.4203773E-2</v>
      </c>
      <c r="X171">
        <v>-3.1760426000000001E-2</v>
      </c>
      <c r="Y171">
        <v>-3.4208955999999999E-2</v>
      </c>
      <c r="Z171">
        <v>0</v>
      </c>
      <c r="AA171">
        <v>50</v>
      </c>
      <c r="AB171">
        <v>48</v>
      </c>
      <c r="AC171">
        <v>18</v>
      </c>
      <c r="AD171">
        <v>131</v>
      </c>
      <c r="AE171">
        <v>3</v>
      </c>
      <c r="AF171">
        <v>0</v>
      </c>
      <c r="AG171">
        <v>2</v>
      </c>
      <c r="AH171">
        <v>0.68640000000000001</v>
      </c>
      <c r="AI171">
        <v>0.137736</v>
      </c>
      <c r="AJ171">
        <v>0.114756</v>
      </c>
      <c r="AK171">
        <v>2.9388920000000001</v>
      </c>
    </row>
    <row r="172" spans="1:37">
      <c r="A172" t="s">
        <v>20</v>
      </c>
      <c r="B172">
        <v>47.94116554</v>
      </c>
      <c r="C172">
        <v>5.1652187940000003</v>
      </c>
      <c r="D172">
        <v>1.8580959990000001</v>
      </c>
      <c r="E172">
        <v>3.6577770000000001E-3</v>
      </c>
      <c r="F172">
        <v>1.8238623140000001</v>
      </c>
      <c r="G172">
        <v>4.2145120000000001E-3</v>
      </c>
      <c r="H172">
        <v>-3.4233685E-2</v>
      </c>
      <c r="I172">
        <v>2.0269480000000002E-3</v>
      </c>
      <c r="J172">
        <v>55.221041390000003</v>
      </c>
      <c r="K172">
        <v>63.912602880000001</v>
      </c>
      <c r="L172">
        <v>43.779899059999998</v>
      </c>
      <c r="M172">
        <v>44.822556159999998</v>
      </c>
      <c r="N172">
        <v>1.8607915770000001</v>
      </c>
      <c r="O172">
        <v>1.8703169550000001</v>
      </c>
      <c r="P172">
        <v>1.852924679</v>
      </c>
      <c r="Q172">
        <v>1.860571741</v>
      </c>
      <c r="R172">
        <v>1.829031681</v>
      </c>
      <c r="S172">
        <v>1.8336246979999999</v>
      </c>
      <c r="T172">
        <v>1.818708312</v>
      </c>
      <c r="U172">
        <v>1.8238469479999999</v>
      </c>
      <c r="V172">
        <v>-3.1759896000000003E-2</v>
      </c>
      <c r="W172">
        <v>-3.6692256999999999E-2</v>
      </c>
      <c r="X172">
        <v>-3.4216366999999998E-2</v>
      </c>
      <c r="Y172">
        <v>-3.6724792999999999E-2</v>
      </c>
      <c r="Z172">
        <v>14</v>
      </c>
      <c r="AA172">
        <v>26</v>
      </c>
      <c r="AB172">
        <v>93</v>
      </c>
      <c r="AC172">
        <v>12</v>
      </c>
      <c r="AD172">
        <v>45</v>
      </c>
      <c r="AE172">
        <v>60</v>
      </c>
      <c r="AF172">
        <v>0.84</v>
      </c>
      <c r="AG172">
        <v>1.04</v>
      </c>
      <c r="AH172">
        <v>1.3299000000000001</v>
      </c>
      <c r="AI172">
        <v>9.1824000000000003E-2</v>
      </c>
      <c r="AJ172">
        <v>3.9419999999999997E-2</v>
      </c>
      <c r="AK172">
        <v>3.3411439999999999</v>
      </c>
    </row>
    <row r="173" spans="1:37">
      <c r="A173" t="s">
        <v>20</v>
      </c>
      <c r="B173">
        <v>17.780167720000001</v>
      </c>
      <c r="C173">
        <v>0.59573762200000002</v>
      </c>
      <c r="D173">
        <v>2.5674696520000002</v>
      </c>
      <c r="E173">
        <v>5.7963759999999998E-3</v>
      </c>
      <c r="F173">
        <v>2.5317736119999998</v>
      </c>
      <c r="G173">
        <v>5.4581320000000001E-3</v>
      </c>
      <c r="H173">
        <v>-3.5696040999999998E-2</v>
      </c>
      <c r="I173">
        <v>1.8067280000000001E-3</v>
      </c>
      <c r="J173">
        <v>17.05016882</v>
      </c>
      <c r="K173">
        <v>17.393307060000001</v>
      </c>
      <c r="L173">
        <v>18.10051554</v>
      </c>
      <c r="M173">
        <v>18.576679469999998</v>
      </c>
      <c r="N173">
        <v>2.5669858670000001</v>
      </c>
      <c r="O173">
        <v>2.5766370360000002</v>
      </c>
      <c r="P173">
        <v>2.5656192889999998</v>
      </c>
      <c r="Q173">
        <v>2.560636417</v>
      </c>
      <c r="R173">
        <v>2.5340774399999999</v>
      </c>
      <c r="S173">
        <v>2.5388723789999998</v>
      </c>
      <c r="T173">
        <v>2.5301755620000002</v>
      </c>
      <c r="U173">
        <v>2.5239690659999998</v>
      </c>
      <c r="V173">
        <v>-3.2908426999999997E-2</v>
      </c>
      <c r="W173">
        <v>-3.7764657E-2</v>
      </c>
      <c r="X173">
        <v>-3.5443727000000001E-2</v>
      </c>
      <c r="Y173">
        <v>-3.6667351000000001E-2</v>
      </c>
      <c r="Z173">
        <v>21</v>
      </c>
      <c r="AA173">
        <v>0</v>
      </c>
      <c r="AB173">
        <v>10</v>
      </c>
      <c r="AC173">
        <v>132</v>
      </c>
      <c r="AD173">
        <v>81</v>
      </c>
      <c r="AE173">
        <v>6</v>
      </c>
      <c r="AF173">
        <v>1.26</v>
      </c>
      <c r="AG173">
        <v>0</v>
      </c>
      <c r="AH173">
        <v>0.14299999999999999</v>
      </c>
      <c r="AI173">
        <v>1.0100640000000001</v>
      </c>
      <c r="AJ173">
        <v>7.0956000000000005E-2</v>
      </c>
      <c r="AK173">
        <v>2.4840200000000001</v>
      </c>
    </row>
    <row r="174" spans="1:37">
      <c r="A174" t="s">
        <v>20</v>
      </c>
      <c r="B174">
        <v>18.255706780000001</v>
      </c>
      <c r="C174">
        <v>1.737964015</v>
      </c>
      <c r="D174">
        <v>1.9524311329999999</v>
      </c>
      <c r="E174">
        <v>0.49595130599999998</v>
      </c>
      <c r="F174">
        <v>1.9252157249999999</v>
      </c>
      <c r="G174">
        <v>0.49626183899999998</v>
      </c>
      <c r="H174">
        <v>-2.7215408E-2</v>
      </c>
      <c r="I174">
        <v>5.8667400000000003E-4</v>
      </c>
      <c r="J174">
        <v>16.293332230000001</v>
      </c>
      <c r="K174">
        <v>15.79788417</v>
      </c>
      <c r="L174">
        <v>19.495077729999998</v>
      </c>
      <c r="M174">
        <v>19.474158429999999</v>
      </c>
      <c r="N174">
        <v>2.663897634</v>
      </c>
      <c r="O174">
        <v>2.6538119299999998</v>
      </c>
      <c r="P174">
        <v>1.6012112540000001</v>
      </c>
      <c r="Q174">
        <v>1.6022702150000001</v>
      </c>
      <c r="R174">
        <v>2.6370345469999998</v>
      </c>
      <c r="S174">
        <v>2.6270359430000001</v>
      </c>
      <c r="T174">
        <v>1.5743856119999999</v>
      </c>
      <c r="U174">
        <v>1.5742256210000001</v>
      </c>
      <c r="V174">
        <v>-2.6863087000000001E-2</v>
      </c>
      <c r="W174">
        <v>-2.6775987000000001E-2</v>
      </c>
      <c r="X174">
        <v>-2.6825642E-2</v>
      </c>
      <c r="Y174">
        <v>-2.8044593999999999E-2</v>
      </c>
      <c r="Z174">
        <v>8</v>
      </c>
      <c r="AA174">
        <v>0</v>
      </c>
      <c r="AB174">
        <v>186</v>
      </c>
      <c r="AC174">
        <v>38</v>
      </c>
      <c r="AD174">
        <v>14</v>
      </c>
      <c r="AE174">
        <v>4</v>
      </c>
      <c r="AF174">
        <v>0.48</v>
      </c>
      <c r="AG174">
        <v>0</v>
      </c>
      <c r="AH174">
        <v>2.6598000000000002</v>
      </c>
      <c r="AI174">
        <v>0.29077599999999998</v>
      </c>
      <c r="AJ174">
        <v>1.2264000000000001E-2</v>
      </c>
      <c r="AK174">
        <v>3.4428399999999999</v>
      </c>
    </row>
    <row r="175" spans="1:37">
      <c r="A175" t="s">
        <v>20</v>
      </c>
      <c r="B175">
        <v>16.073783550000002</v>
      </c>
      <c r="C175">
        <v>3.8311137159999999</v>
      </c>
      <c r="D175">
        <v>1.7516097859999999</v>
      </c>
      <c r="E175">
        <v>1.0168821999999999E-2</v>
      </c>
      <c r="F175">
        <v>1.7376489150000001</v>
      </c>
      <c r="G175">
        <v>9.0069629999999998E-3</v>
      </c>
      <c r="H175">
        <v>-1.3960871E-2</v>
      </c>
      <c r="I175">
        <v>1.57866E-3</v>
      </c>
      <c r="J175">
        <v>14.305787860000001</v>
      </c>
      <c r="K175">
        <v>21.393070779999999</v>
      </c>
      <c r="L175">
        <v>24.8710217</v>
      </c>
      <c r="M175">
        <v>12.52249202</v>
      </c>
      <c r="N175">
        <v>1.7659902460000001</v>
      </c>
      <c r="O175">
        <v>1.7443236580000001</v>
      </c>
      <c r="P175">
        <v>1.7474086440000001</v>
      </c>
      <c r="Q175">
        <v>1.744515453</v>
      </c>
      <c r="R175">
        <v>1.750317817</v>
      </c>
      <c r="S175">
        <v>1.7324600080000001</v>
      </c>
      <c r="T175">
        <v>1.7355097500000001</v>
      </c>
      <c r="U175">
        <v>1.7301689200000001</v>
      </c>
      <c r="V175">
        <v>-1.5672429000000002E-2</v>
      </c>
      <c r="W175">
        <v>-1.186365E-2</v>
      </c>
      <c r="X175">
        <v>-1.1898894E-2</v>
      </c>
      <c r="Y175">
        <v>-1.4346533E-2</v>
      </c>
      <c r="Z175">
        <v>125</v>
      </c>
      <c r="AA175">
        <v>26</v>
      </c>
      <c r="AB175">
        <v>48</v>
      </c>
      <c r="AC175">
        <v>11</v>
      </c>
      <c r="AD175">
        <v>26</v>
      </c>
      <c r="AE175">
        <v>14</v>
      </c>
      <c r="AF175">
        <v>7.5</v>
      </c>
      <c r="AG175">
        <v>1.04</v>
      </c>
      <c r="AH175">
        <v>0.68640000000000001</v>
      </c>
      <c r="AI175">
        <v>8.4171999999999997E-2</v>
      </c>
      <c r="AJ175">
        <v>2.2776000000000001E-2</v>
      </c>
      <c r="AK175">
        <v>9.3333480000000009</v>
      </c>
    </row>
    <row r="176" spans="1:37">
      <c r="A176" t="s">
        <v>20</v>
      </c>
      <c r="B176">
        <v>33.256212359999999</v>
      </c>
      <c r="C176">
        <v>0.33579224800000002</v>
      </c>
      <c r="D176">
        <v>2.062200716</v>
      </c>
      <c r="E176">
        <v>1.899745E-3</v>
      </c>
      <c r="F176">
        <v>2.0540940440000002</v>
      </c>
      <c r="G176">
        <v>2.1838579999999999E-3</v>
      </c>
      <c r="H176">
        <v>-8.1066720000000005E-3</v>
      </c>
      <c r="I176">
        <v>4.9457099999999996E-4</v>
      </c>
      <c r="J176">
        <v>33.422853920000001</v>
      </c>
      <c r="K176">
        <v>32.676179859999998</v>
      </c>
      <c r="L176">
        <v>33.48910506</v>
      </c>
      <c r="M176">
        <v>33.436710599999998</v>
      </c>
      <c r="N176">
        <v>2.0637567720000001</v>
      </c>
      <c r="O176">
        <v>2.0642830050000001</v>
      </c>
      <c r="P176">
        <v>2.06110959</v>
      </c>
      <c r="Q176">
        <v>2.0596534970000002</v>
      </c>
      <c r="R176">
        <v>2.0565065069999999</v>
      </c>
      <c r="S176">
        <v>2.05590728</v>
      </c>
      <c r="T176">
        <v>2.0527026030000002</v>
      </c>
      <c r="U176">
        <v>2.0512597850000001</v>
      </c>
      <c r="V176">
        <v>-7.2502649999999997E-3</v>
      </c>
      <c r="W176">
        <v>-8.3757250000000005E-3</v>
      </c>
      <c r="X176">
        <v>-8.4069869999999994E-3</v>
      </c>
      <c r="Y176">
        <v>-8.3937119999999994E-3</v>
      </c>
      <c r="Z176">
        <v>164</v>
      </c>
      <c r="AA176">
        <v>0</v>
      </c>
      <c r="AB176">
        <v>17</v>
      </c>
      <c r="AC176">
        <v>19</v>
      </c>
      <c r="AD176">
        <v>18</v>
      </c>
      <c r="AE176">
        <v>32</v>
      </c>
      <c r="AF176">
        <v>9.84</v>
      </c>
      <c r="AG176">
        <v>0</v>
      </c>
      <c r="AH176">
        <v>0.24310000000000001</v>
      </c>
      <c r="AI176">
        <v>0.14538799999999999</v>
      </c>
      <c r="AJ176">
        <v>1.5768000000000001E-2</v>
      </c>
      <c r="AK176">
        <v>10.244256</v>
      </c>
    </row>
    <row r="177" spans="1:37">
      <c r="A177" t="s">
        <v>20</v>
      </c>
      <c r="B177">
        <v>48.897592510000003</v>
      </c>
      <c r="C177">
        <v>0.86604126800000003</v>
      </c>
      <c r="D177">
        <v>1.8153767709999999</v>
      </c>
      <c r="E177">
        <v>4.062136E-3</v>
      </c>
      <c r="F177">
        <v>1.7883507489999999</v>
      </c>
      <c r="G177">
        <v>5.75801E-3</v>
      </c>
      <c r="H177">
        <v>-2.7026022E-2</v>
      </c>
      <c r="I177">
        <v>2.9556040000000001E-3</v>
      </c>
      <c r="J177">
        <v>50.364541580000001</v>
      </c>
      <c r="K177">
        <v>48.478307749999999</v>
      </c>
      <c r="L177">
        <v>48.62232659</v>
      </c>
      <c r="M177">
        <v>48.125194100000002</v>
      </c>
      <c r="N177">
        <v>1.8212607750000001</v>
      </c>
      <c r="O177">
        <v>1.8156797849999999</v>
      </c>
      <c r="P177">
        <v>1.8147481009999999</v>
      </c>
      <c r="Q177">
        <v>1.8098184209999999</v>
      </c>
      <c r="R177">
        <v>1.79829113</v>
      </c>
      <c r="S177">
        <v>1.7852542300000001</v>
      </c>
      <c r="T177">
        <v>1.785561221</v>
      </c>
      <c r="U177">
        <v>1.7842964130000001</v>
      </c>
      <c r="V177">
        <v>-2.2969645E-2</v>
      </c>
      <c r="W177">
        <v>-3.0425555E-2</v>
      </c>
      <c r="X177">
        <v>-2.9186879999999998E-2</v>
      </c>
      <c r="Y177">
        <v>-2.5522007999999999E-2</v>
      </c>
      <c r="Z177">
        <v>64</v>
      </c>
      <c r="AA177">
        <v>22</v>
      </c>
      <c r="AB177">
        <v>18</v>
      </c>
      <c r="AC177">
        <v>38</v>
      </c>
      <c r="AD177">
        <v>98</v>
      </c>
      <c r="AE177">
        <v>10</v>
      </c>
      <c r="AF177">
        <v>3.84</v>
      </c>
      <c r="AG177">
        <v>0.88</v>
      </c>
      <c r="AH177">
        <v>0.25740000000000002</v>
      </c>
      <c r="AI177">
        <v>0.29077599999999998</v>
      </c>
      <c r="AJ177">
        <v>8.5847999999999994E-2</v>
      </c>
      <c r="AK177">
        <v>5.3540239999999999</v>
      </c>
    </row>
    <row r="178" spans="1:37">
      <c r="A178" t="s">
        <v>20</v>
      </c>
      <c r="B178">
        <v>35.392723719999999</v>
      </c>
      <c r="C178">
        <v>0.86374694399999996</v>
      </c>
      <c r="D178">
        <v>1.3271130799999999</v>
      </c>
      <c r="E178">
        <v>2.3138637E-2</v>
      </c>
      <c r="F178">
        <v>1.3158754239999999</v>
      </c>
      <c r="G178">
        <v>2.2455025E-2</v>
      </c>
      <c r="H178">
        <v>-1.1237656E-2</v>
      </c>
      <c r="I178">
        <v>1.1681269999999999E-3</v>
      </c>
      <c r="J178">
        <v>36.560546639999998</v>
      </c>
      <c r="K178">
        <v>35.119022520000001</v>
      </c>
      <c r="L178">
        <v>34.498602009999999</v>
      </c>
      <c r="M178">
        <v>0</v>
      </c>
      <c r="N178">
        <v>1.3595496659999999</v>
      </c>
      <c r="O178">
        <v>1.307153698</v>
      </c>
      <c r="P178">
        <v>1.314635877</v>
      </c>
      <c r="Q178">
        <v>0</v>
      </c>
      <c r="R178">
        <v>1.3475006869999999</v>
      </c>
      <c r="S178">
        <v>1.2975679369999999</v>
      </c>
      <c r="T178">
        <v>1.3025576480000001</v>
      </c>
      <c r="U178">
        <v>0</v>
      </c>
      <c r="V178">
        <v>-1.2048979E-2</v>
      </c>
      <c r="W178">
        <v>-9.5857609999999999E-3</v>
      </c>
      <c r="X178">
        <v>-1.2078228999999999E-2</v>
      </c>
      <c r="Y178">
        <v>0</v>
      </c>
      <c r="Z178">
        <v>66</v>
      </c>
      <c r="AA178">
        <v>5</v>
      </c>
      <c r="AB178">
        <v>62</v>
      </c>
      <c r="AC178">
        <v>91</v>
      </c>
      <c r="AD178">
        <v>26</v>
      </c>
      <c r="AE178">
        <v>0</v>
      </c>
      <c r="AF178">
        <v>3.96</v>
      </c>
      <c r="AG178">
        <v>0.2</v>
      </c>
      <c r="AH178">
        <v>0.88660000000000005</v>
      </c>
      <c r="AI178">
        <v>0.69633199999999995</v>
      </c>
      <c r="AJ178">
        <v>2.2776000000000001E-2</v>
      </c>
      <c r="AK178">
        <v>5.7657080000000001</v>
      </c>
    </row>
    <row r="179" spans="1:37">
      <c r="A179" t="s">
        <v>20</v>
      </c>
      <c r="B179">
        <v>0</v>
      </c>
      <c r="C179">
        <v>0</v>
      </c>
      <c r="D179">
        <v>1.552063306</v>
      </c>
      <c r="E179">
        <v>1.1047015760000001</v>
      </c>
      <c r="F179">
        <v>1.552063306</v>
      </c>
      <c r="G179">
        <v>1.1047015760000001</v>
      </c>
      <c r="H179">
        <v>0</v>
      </c>
      <c r="I179">
        <v>0</v>
      </c>
      <c r="J179">
        <v>0</v>
      </c>
      <c r="K179">
        <v>12.031255229999999</v>
      </c>
      <c r="L179">
        <v>0</v>
      </c>
      <c r="M179">
        <v>0</v>
      </c>
      <c r="N179">
        <v>0</v>
      </c>
      <c r="O179">
        <v>0</v>
      </c>
      <c r="P179">
        <v>2.1735861299999999</v>
      </c>
      <c r="Q179">
        <v>2.482603788</v>
      </c>
      <c r="R179">
        <v>0</v>
      </c>
      <c r="S179">
        <v>0</v>
      </c>
      <c r="T179">
        <v>2.1735861299999999</v>
      </c>
      <c r="U179">
        <v>2.482603788</v>
      </c>
      <c r="V179">
        <v>0</v>
      </c>
      <c r="W179">
        <v>0</v>
      </c>
      <c r="X179">
        <v>0</v>
      </c>
      <c r="Y179">
        <v>0</v>
      </c>
      <c r="Z179">
        <v>238</v>
      </c>
      <c r="AA179">
        <v>0</v>
      </c>
      <c r="AB179">
        <v>0</v>
      </c>
      <c r="AC179">
        <v>0</v>
      </c>
      <c r="AD179">
        <v>0</v>
      </c>
      <c r="AE179">
        <v>12</v>
      </c>
      <c r="AF179">
        <v>14.28</v>
      </c>
      <c r="AG179">
        <v>0</v>
      </c>
      <c r="AH179">
        <v>0</v>
      </c>
      <c r="AI179">
        <v>0</v>
      </c>
      <c r="AJ179">
        <v>0</v>
      </c>
      <c r="AK179">
        <v>14.28</v>
      </c>
    </row>
    <row r="180" spans="1:37">
      <c r="A180" t="s">
        <v>20</v>
      </c>
      <c r="B180">
        <v>12.94340807</v>
      </c>
      <c r="C180">
        <v>2.2686848820000001</v>
      </c>
      <c r="D180">
        <v>2.7700183150000002</v>
      </c>
      <c r="E180">
        <v>9.9359519999999996E-3</v>
      </c>
      <c r="F180">
        <v>2.7137306809999999</v>
      </c>
      <c r="G180">
        <v>1.2995771E-2</v>
      </c>
      <c r="H180">
        <v>-5.6287634000000003E-2</v>
      </c>
      <c r="I180">
        <v>3.0600810000000001E-3</v>
      </c>
      <c r="J180">
        <v>9.8119187449999998</v>
      </c>
      <c r="K180">
        <v>1.176811082</v>
      </c>
      <c r="L180">
        <v>13.904398580000001</v>
      </c>
      <c r="M180">
        <v>15.113906890000001</v>
      </c>
      <c r="N180">
        <v>2.7561268280000002</v>
      </c>
      <c r="O180">
        <v>2.8829132099999999</v>
      </c>
      <c r="P180">
        <v>2.7751324839999998</v>
      </c>
      <c r="Q180">
        <v>2.7787956330000001</v>
      </c>
      <c r="R180">
        <v>2.695571127</v>
      </c>
      <c r="S180">
        <v>2.7467549660000001</v>
      </c>
      <c r="T180">
        <v>2.7203593279999998</v>
      </c>
      <c r="U180">
        <v>2.7252615869999999</v>
      </c>
      <c r="V180">
        <v>-6.0555701000000003E-2</v>
      </c>
      <c r="W180">
        <v>-0.13615824400000001</v>
      </c>
      <c r="X180">
        <v>-5.4773156000000003E-2</v>
      </c>
      <c r="Y180">
        <v>-5.3534046000000002E-2</v>
      </c>
      <c r="Z180">
        <v>28</v>
      </c>
      <c r="AA180">
        <v>0</v>
      </c>
      <c r="AB180">
        <v>32</v>
      </c>
      <c r="AC180">
        <v>93</v>
      </c>
      <c r="AD180">
        <v>65</v>
      </c>
      <c r="AE180">
        <v>32</v>
      </c>
      <c r="AF180">
        <v>1.68</v>
      </c>
      <c r="AG180">
        <v>0</v>
      </c>
      <c r="AH180">
        <v>0.45760000000000001</v>
      </c>
      <c r="AI180">
        <v>0.71163600000000005</v>
      </c>
      <c r="AJ180">
        <v>5.6939999999999998E-2</v>
      </c>
      <c r="AK180">
        <v>2.9061759999999999</v>
      </c>
    </row>
    <row r="181" spans="1:37">
      <c r="A181" t="s">
        <v>20</v>
      </c>
      <c r="B181">
        <v>41.350129109999997</v>
      </c>
      <c r="C181">
        <v>0.78267623600000003</v>
      </c>
      <c r="D181">
        <v>1.7718691600000001</v>
      </c>
      <c r="E181">
        <v>2.9774733000000001E-2</v>
      </c>
      <c r="F181">
        <v>1.748151563</v>
      </c>
      <c r="G181">
        <v>2.7294668000000001E-2</v>
      </c>
      <c r="H181">
        <v>-2.3717597E-2</v>
      </c>
      <c r="I181">
        <v>2.517839E-3</v>
      </c>
      <c r="J181">
        <v>42.080350469999999</v>
      </c>
      <c r="K181">
        <v>40.430986939999997</v>
      </c>
      <c r="L181">
        <v>40.718491280000002</v>
      </c>
      <c r="M181">
        <v>42.170687729999997</v>
      </c>
      <c r="N181">
        <v>1.8065178609999999</v>
      </c>
      <c r="O181">
        <v>1.741899716</v>
      </c>
      <c r="P181">
        <v>1.796329635</v>
      </c>
      <c r="Q181">
        <v>1.742729427</v>
      </c>
      <c r="R181">
        <v>1.779765238</v>
      </c>
      <c r="S181">
        <v>1.7212281620000001</v>
      </c>
      <c r="T181">
        <v>1.770753394</v>
      </c>
      <c r="U181">
        <v>1.7208594589999999</v>
      </c>
      <c r="V181">
        <v>-2.6752623E-2</v>
      </c>
      <c r="W181">
        <v>-2.0671554000000002E-2</v>
      </c>
      <c r="X181">
        <v>-2.5576241E-2</v>
      </c>
      <c r="Y181">
        <v>-2.1869968E-2</v>
      </c>
      <c r="Z181">
        <v>14</v>
      </c>
      <c r="AA181">
        <v>48</v>
      </c>
      <c r="AB181">
        <v>48</v>
      </c>
      <c r="AC181">
        <v>81</v>
      </c>
      <c r="AD181">
        <v>9</v>
      </c>
      <c r="AE181">
        <v>50</v>
      </c>
      <c r="AF181">
        <v>0.84</v>
      </c>
      <c r="AG181">
        <v>1.92</v>
      </c>
      <c r="AH181">
        <v>0.68640000000000001</v>
      </c>
      <c r="AI181">
        <v>0.61981200000000003</v>
      </c>
      <c r="AJ181">
        <v>7.8840000000000004E-3</v>
      </c>
      <c r="AK181">
        <v>4.0740959999999999</v>
      </c>
    </row>
    <row r="182" spans="1:37">
      <c r="A182" t="s">
        <v>20</v>
      </c>
      <c r="B182">
        <v>44.842729810000002</v>
      </c>
      <c r="C182">
        <v>1.5888622990000001</v>
      </c>
      <c r="D182">
        <v>1.7631755069999999</v>
      </c>
      <c r="E182">
        <v>1.9783874E-2</v>
      </c>
      <c r="F182">
        <v>1.733949298</v>
      </c>
      <c r="G182">
        <v>2.1185421999999999E-2</v>
      </c>
      <c r="H182">
        <v>-2.9226209999999999E-2</v>
      </c>
      <c r="I182">
        <v>1.524891E-3</v>
      </c>
      <c r="J182">
        <v>43.281160909999997</v>
      </c>
      <c r="K182">
        <v>43.341587320000002</v>
      </c>
      <c r="L182">
        <v>46.972377620000003</v>
      </c>
      <c r="M182">
        <v>45.775793380000003</v>
      </c>
      <c r="N182">
        <v>1.749777165</v>
      </c>
      <c r="O182">
        <v>1.749753619</v>
      </c>
      <c r="P182">
        <v>1.7971560090000001</v>
      </c>
      <c r="Q182">
        <v>1.7560152360000001</v>
      </c>
      <c r="R182">
        <v>1.7205424</v>
      </c>
      <c r="S182">
        <v>1.719316147</v>
      </c>
      <c r="T182">
        <v>1.7704225200000001</v>
      </c>
      <c r="U182">
        <v>1.725516123</v>
      </c>
      <c r="V182">
        <v>-2.9234764999999999E-2</v>
      </c>
      <c r="W182">
        <v>-3.0437472E-2</v>
      </c>
      <c r="X182">
        <v>-2.6733488999999999E-2</v>
      </c>
      <c r="Y182">
        <v>-3.0499113000000001E-2</v>
      </c>
      <c r="Z182">
        <v>25</v>
      </c>
      <c r="AA182">
        <v>50</v>
      </c>
      <c r="AB182">
        <v>88</v>
      </c>
      <c r="AC182">
        <v>6</v>
      </c>
      <c r="AD182">
        <v>19</v>
      </c>
      <c r="AE182">
        <v>62</v>
      </c>
      <c r="AF182">
        <v>1.5</v>
      </c>
      <c r="AG182">
        <v>2</v>
      </c>
      <c r="AH182">
        <v>1.2584</v>
      </c>
      <c r="AI182">
        <v>4.5912000000000001E-2</v>
      </c>
      <c r="AJ182">
        <v>1.6643999999999999E-2</v>
      </c>
      <c r="AK182">
        <v>4.8209559999999998</v>
      </c>
    </row>
    <row r="183" spans="1:37">
      <c r="A183" t="s">
        <v>20</v>
      </c>
      <c r="B183">
        <v>41.154557730000001</v>
      </c>
      <c r="C183">
        <v>0.61442144799999998</v>
      </c>
      <c r="D183">
        <v>1.543383046</v>
      </c>
      <c r="E183">
        <v>0.10274866000000001</v>
      </c>
      <c r="F183">
        <v>1.525960464</v>
      </c>
      <c r="G183">
        <v>0.10169038599999999</v>
      </c>
      <c r="H183">
        <v>-1.7422580999999999E-2</v>
      </c>
      <c r="I183">
        <v>3.5423609999999999E-3</v>
      </c>
      <c r="J183">
        <v>40.433800949999998</v>
      </c>
      <c r="K183">
        <v>40.443627079999999</v>
      </c>
      <c r="L183">
        <v>41.93523699</v>
      </c>
      <c r="M183">
        <v>41.094635240000002</v>
      </c>
      <c r="N183">
        <v>1.427472203</v>
      </c>
      <c r="O183">
        <v>2.097693917</v>
      </c>
      <c r="P183">
        <v>1.5254475059999999</v>
      </c>
      <c r="Q183">
        <v>1.677229428</v>
      </c>
      <c r="R183">
        <v>1.4141741249999999</v>
      </c>
      <c r="S183">
        <v>2.0770208239999999</v>
      </c>
      <c r="T183">
        <v>1.503500187</v>
      </c>
      <c r="U183">
        <v>1.660207081</v>
      </c>
      <c r="V183">
        <v>-1.3298078E-2</v>
      </c>
      <c r="W183">
        <v>-2.0673093E-2</v>
      </c>
      <c r="X183">
        <v>-2.1947319E-2</v>
      </c>
      <c r="Y183">
        <v>-1.7022347E-2</v>
      </c>
      <c r="Z183">
        <v>89</v>
      </c>
      <c r="AA183">
        <v>0</v>
      </c>
      <c r="AB183">
        <v>28</v>
      </c>
      <c r="AC183">
        <v>74</v>
      </c>
      <c r="AD183">
        <v>21</v>
      </c>
      <c r="AE183">
        <v>38</v>
      </c>
      <c r="AF183">
        <v>5.34</v>
      </c>
      <c r="AG183">
        <v>0</v>
      </c>
      <c r="AH183">
        <v>0.40039999999999998</v>
      </c>
      <c r="AI183">
        <v>0.56624799999999997</v>
      </c>
      <c r="AJ183">
        <v>1.8395999999999999E-2</v>
      </c>
      <c r="AK183">
        <v>6.3250440000000001</v>
      </c>
    </row>
    <row r="184" spans="1:37">
      <c r="A184" t="s">
        <v>20</v>
      </c>
      <c r="B184">
        <v>35.223962489999998</v>
      </c>
      <c r="C184">
        <v>4.2892580980000004</v>
      </c>
      <c r="D184">
        <v>1.81358576</v>
      </c>
      <c r="E184">
        <v>3.8799870000000001E-3</v>
      </c>
      <c r="F184">
        <v>1.7895687010000001</v>
      </c>
      <c r="G184">
        <v>6.8858330000000001E-3</v>
      </c>
      <c r="H184">
        <v>-2.4017059E-2</v>
      </c>
      <c r="I184">
        <v>4.3798500000000002E-3</v>
      </c>
      <c r="J184">
        <v>0</v>
      </c>
      <c r="K184">
        <v>29.607039990000001</v>
      </c>
      <c r="L184">
        <v>36.048932180000001</v>
      </c>
      <c r="M184">
        <v>40.015915300000003</v>
      </c>
      <c r="N184">
        <v>2.598679304</v>
      </c>
      <c r="O184">
        <v>1.8177793950000001</v>
      </c>
      <c r="P184">
        <v>1.8084243849999999</v>
      </c>
      <c r="Q184">
        <v>1.814553501</v>
      </c>
      <c r="R184">
        <v>2.598679304</v>
      </c>
      <c r="S184">
        <v>1.7992798080000001</v>
      </c>
      <c r="T184">
        <v>1.784086367</v>
      </c>
      <c r="U184">
        <v>1.785339928</v>
      </c>
      <c r="V184">
        <v>0</v>
      </c>
      <c r="W184">
        <v>-1.8499587000000001E-2</v>
      </c>
      <c r="X184">
        <v>-2.4338017999999999E-2</v>
      </c>
      <c r="Y184">
        <v>-2.9213573E-2</v>
      </c>
      <c r="Z184">
        <v>14</v>
      </c>
      <c r="AA184">
        <v>20</v>
      </c>
      <c r="AB184">
        <v>80</v>
      </c>
      <c r="AC184">
        <v>98</v>
      </c>
      <c r="AD184">
        <v>32</v>
      </c>
      <c r="AE184">
        <v>6</v>
      </c>
      <c r="AF184">
        <v>0.84</v>
      </c>
      <c r="AG184">
        <v>0.8</v>
      </c>
      <c r="AH184">
        <v>1.1439999999999999</v>
      </c>
      <c r="AI184">
        <v>0.74989600000000001</v>
      </c>
      <c r="AJ184">
        <v>2.8032000000000001E-2</v>
      </c>
      <c r="AK184">
        <v>3.561928</v>
      </c>
    </row>
    <row r="185" spans="1:37">
      <c r="A185" t="s">
        <v>20</v>
      </c>
      <c r="B185">
        <v>22.68360624</v>
      </c>
      <c r="C185">
        <v>0.29947449300000001</v>
      </c>
      <c r="D185">
        <v>2.57278786</v>
      </c>
      <c r="E185">
        <v>3.553502E-3</v>
      </c>
      <c r="F185">
        <v>2.5380064729999998</v>
      </c>
      <c r="G185">
        <v>4.1083409999999997E-3</v>
      </c>
      <c r="H185">
        <v>-3.4781386999999997E-2</v>
      </c>
      <c r="I185">
        <v>6.2670599999999999E-4</v>
      </c>
      <c r="J185">
        <v>22.838939490000001</v>
      </c>
      <c r="K185">
        <v>22.44374174</v>
      </c>
      <c r="L185">
        <v>22.356072109999999</v>
      </c>
      <c r="M185">
        <v>23.095671629999998</v>
      </c>
      <c r="N185">
        <v>2.578351429</v>
      </c>
      <c r="O185">
        <v>2.5734149479999999</v>
      </c>
      <c r="P185">
        <v>2.5696721380000001</v>
      </c>
      <c r="Q185">
        <v>2.5697129240000001</v>
      </c>
      <c r="R185">
        <v>2.544188219</v>
      </c>
      <c r="S185">
        <v>2.5392683850000002</v>
      </c>
      <c r="T185">
        <v>2.5342431649999999</v>
      </c>
      <c r="U185">
        <v>2.534326122</v>
      </c>
      <c r="V185">
        <v>-3.4163209999999999E-2</v>
      </c>
      <c r="W185">
        <v>-3.4146562999999998E-2</v>
      </c>
      <c r="X185">
        <v>-3.5428973000000002E-2</v>
      </c>
      <c r="Y185">
        <v>-3.5386802000000002E-2</v>
      </c>
      <c r="Z185">
        <v>5</v>
      </c>
      <c r="AA185">
        <v>0</v>
      </c>
      <c r="AB185">
        <v>64</v>
      </c>
      <c r="AC185">
        <v>97</v>
      </c>
      <c r="AD185">
        <v>53</v>
      </c>
      <c r="AE185">
        <v>31</v>
      </c>
      <c r="AF185">
        <v>0.3</v>
      </c>
      <c r="AG185">
        <v>0</v>
      </c>
      <c r="AH185">
        <v>0.91520000000000001</v>
      </c>
      <c r="AI185">
        <v>0.74224400000000001</v>
      </c>
      <c r="AJ185">
        <v>4.6427999999999997E-2</v>
      </c>
      <c r="AK185">
        <v>2.0038719999999999</v>
      </c>
    </row>
    <row r="186" spans="1:37">
      <c r="A186" t="s">
        <v>20</v>
      </c>
      <c r="B186">
        <v>38.336628949999998</v>
      </c>
      <c r="C186">
        <v>0.94603844199999998</v>
      </c>
      <c r="D186">
        <v>1.8019766779999999</v>
      </c>
      <c r="E186">
        <v>3.7003499999999998E-3</v>
      </c>
      <c r="F186">
        <v>1.7840184290000001</v>
      </c>
      <c r="G186">
        <v>3.2436190000000001E-3</v>
      </c>
      <c r="H186">
        <v>-1.7958248999999999E-2</v>
      </c>
      <c r="I186">
        <v>1.5873619999999999E-3</v>
      </c>
      <c r="J186">
        <v>37.168134459999997</v>
      </c>
      <c r="K186">
        <v>39.800974140000001</v>
      </c>
      <c r="L186">
        <v>38.303822930000003</v>
      </c>
      <c r="M186">
        <v>38.073584289999999</v>
      </c>
      <c r="N186">
        <v>1.7970290310000001</v>
      </c>
      <c r="O186">
        <v>1.8060005480000001</v>
      </c>
      <c r="P186">
        <v>1.7998239009999999</v>
      </c>
      <c r="Q186">
        <v>1.8050532319999999</v>
      </c>
      <c r="R186">
        <v>1.779985436</v>
      </c>
      <c r="S186">
        <v>1.7889409780000001</v>
      </c>
      <c r="T186">
        <v>1.7828016149999999</v>
      </c>
      <c r="U186">
        <v>1.784345686</v>
      </c>
      <c r="V186">
        <v>-1.7043595000000002E-2</v>
      </c>
      <c r="W186">
        <v>-1.705957E-2</v>
      </c>
      <c r="X186">
        <v>-1.7022286000000001E-2</v>
      </c>
      <c r="Y186">
        <v>-2.0707546E-2</v>
      </c>
      <c r="Z186">
        <v>42</v>
      </c>
      <c r="AA186">
        <v>7</v>
      </c>
      <c r="AB186">
        <v>0</v>
      </c>
      <c r="AC186">
        <v>121</v>
      </c>
      <c r="AD186">
        <v>56</v>
      </c>
      <c r="AE186">
        <v>24</v>
      </c>
      <c r="AF186">
        <v>2.52</v>
      </c>
      <c r="AG186">
        <v>0.28000000000000003</v>
      </c>
      <c r="AH186">
        <v>0</v>
      </c>
      <c r="AI186">
        <v>0.92589200000000005</v>
      </c>
      <c r="AJ186">
        <v>4.9056000000000002E-2</v>
      </c>
      <c r="AK186">
        <v>3.7749480000000002</v>
      </c>
    </row>
    <row r="187" spans="1:37">
      <c r="A187" t="s">
        <v>20</v>
      </c>
      <c r="B187">
        <v>32.182732790000003</v>
      </c>
      <c r="C187">
        <v>2.9351488730000002</v>
      </c>
      <c r="D187">
        <v>1.6829156700000001</v>
      </c>
      <c r="E187">
        <v>8.6752830000000006E-3</v>
      </c>
      <c r="F187">
        <v>1.6721652060000001</v>
      </c>
      <c r="G187">
        <v>8.6653879999999996E-3</v>
      </c>
      <c r="H187">
        <v>-1.0750465000000001E-2</v>
      </c>
      <c r="I187">
        <v>9.6429899999999995E-4</v>
      </c>
      <c r="J187">
        <v>28.55310631</v>
      </c>
      <c r="K187">
        <v>35.741681079999999</v>
      </c>
      <c r="L187">
        <v>32.253410989999999</v>
      </c>
      <c r="M187">
        <v>46.955731329999999</v>
      </c>
      <c r="N187">
        <v>1.677341126</v>
      </c>
      <c r="O187">
        <v>1.6951678320000001</v>
      </c>
      <c r="P187">
        <v>1.6762380530000001</v>
      </c>
      <c r="Q187">
        <v>1.672759935</v>
      </c>
      <c r="R187">
        <v>1.665419266</v>
      </c>
      <c r="S187">
        <v>1.684398348</v>
      </c>
      <c r="T187">
        <v>1.6666780029999999</v>
      </c>
      <c r="U187">
        <v>1.6863527199999999</v>
      </c>
      <c r="V187">
        <v>-1.1921859999999999E-2</v>
      </c>
      <c r="W187">
        <v>-1.0769483999999999E-2</v>
      </c>
      <c r="X187">
        <v>-9.5600500000000005E-3</v>
      </c>
      <c r="Y187">
        <v>1.3592785E-2</v>
      </c>
      <c r="Z187">
        <v>0</v>
      </c>
      <c r="AA187">
        <v>172</v>
      </c>
      <c r="AB187">
        <v>52</v>
      </c>
      <c r="AC187">
        <v>12</v>
      </c>
      <c r="AD187">
        <v>9</v>
      </c>
      <c r="AE187">
        <v>5</v>
      </c>
      <c r="AF187">
        <v>0</v>
      </c>
      <c r="AG187">
        <v>6.88</v>
      </c>
      <c r="AH187">
        <v>0.74360000000000004</v>
      </c>
      <c r="AI187">
        <v>9.1824000000000003E-2</v>
      </c>
      <c r="AJ187">
        <v>7.8840000000000004E-3</v>
      </c>
      <c r="AK187">
        <v>7.7233080000000003</v>
      </c>
    </row>
    <row r="188" spans="1:37">
      <c r="A188" t="s">
        <v>20</v>
      </c>
      <c r="B188">
        <v>44.105873109999997</v>
      </c>
      <c r="C188">
        <v>0.90196178100000002</v>
      </c>
      <c r="D188">
        <v>1.4133912319999999</v>
      </c>
      <c r="E188">
        <v>7.3282440000000004E-2</v>
      </c>
      <c r="F188">
        <v>1.3870029770000001</v>
      </c>
      <c r="G188">
        <v>7.1719173999999997E-2</v>
      </c>
      <c r="H188">
        <v>-2.6388254E-2</v>
      </c>
      <c r="I188">
        <v>1.563313E-3</v>
      </c>
      <c r="J188">
        <v>45.192383409999998</v>
      </c>
      <c r="K188">
        <v>57.281348250000001</v>
      </c>
      <c r="L188">
        <v>42.983891679999999</v>
      </c>
      <c r="M188">
        <v>44.141344240000002</v>
      </c>
      <c r="N188">
        <v>1.314519357</v>
      </c>
      <c r="O188">
        <v>1.8244068950000001</v>
      </c>
      <c r="P188">
        <v>1.4359247820000001</v>
      </c>
      <c r="Q188">
        <v>1.4897295559999999</v>
      </c>
      <c r="R188">
        <v>1.2902352349999999</v>
      </c>
      <c r="S188">
        <v>1.793852464</v>
      </c>
      <c r="T188">
        <v>1.40907216</v>
      </c>
      <c r="U188">
        <v>1.4617015369999999</v>
      </c>
      <c r="V188">
        <v>-2.4284121999999998E-2</v>
      </c>
      <c r="W188">
        <v>-3.0554431E-2</v>
      </c>
      <c r="X188">
        <v>-2.6852622E-2</v>
      </c>
      <c r="Y188">
        <v>-2.8028019000000001E-2</v>
      </c>
      <c r="Z188">
        <v>34</v>
      </c>
      <c r="AA188">
        <v>5</v>
      </c>
      <c r="AB188">
        <v>67</v>
      </c>
      <c r="AC188">
        <v>20</v>
      </c>
      <c r="AD188">
        <v>88</v>
      </c>
      <c r="AE188">
        <v>36</v>
      </c>
      <c r="AF188">
        <v>2.04</v>
      </c>
      <c r="AG188">
        <v>0.2</v>
      </c>
      <c r="AH188">
        <v>0.95809999999999995</v>
      </c>
      <c r="AI188">
        <v>0.15304000000000001</v>
      </c>
      <c r="AJ188">
        <v>7.7088000000000004E-2</v>
      </c>
      <c r="AK188">
        <v>3.4282279999999998</v>
      </c>
    </row>
    <row r="189" spans="1:37">
      <c r="A189" t="s">
        <v>20</v>
      </c>
      <c r="B189">
        <v>37.79626287</v>
      </c>
      <c r="C189">
        <v>1.460724774</v>
      </c>
      <c r="D189">
        <v>1.884404446</v>
      </c>
      <c r="E189">
        <v>2.4114842000000001E-2</v>
      </c>
      <c r="F189">
        <v>1.8131345400000001</v>
      </c>
      <c r="G189">
        <v>1.2431177E-2</v>
      </c>
      <c r="H189">
        <v>-7.1269905999999994E-2</v>
      </c>
      <c r="I189">
        <v>1.2521137E-2</v>
      </c>
      <c r="J189">
        <v>0</v>
      </c>
      <c r="K189">
        <v>39.852188839999997</v>
      </c>
      <c r="L189">
        <v>36.942803759999997</v>
      </c>
      <c r="M189">
        <v>36.593796009999998</v>
      </c>
      <c r="N189">
        <v>0</v>
      </c>
      <c r="O189">
        <v>1.917280154</v>
      </c>
      <c r="P189">
        <v>1.8758202049999999</v>
      </c>
      <c r="Q189">
        <v>1.8601129780000001</v>
      </c>
      <c r="R189">
        <v>0</v>
      </c>
      <c r="S189">
        <v>1.830714263</v>
      </c>
      <c r="T189">
        <v>1.804472171</v>
      </c>
      <c r="U189">
        <v>1.804217186</v>
      </c>
      <c r="V189">
        <v>0</v>
      </c>
      <c r="W189">
        <v>-8.6565891000000006E-2</v>
      </c>
      <c r="X189">
        <v>-7.1348034000000005E-2</v>
      </c>
      <c r="Y189">
        <v>-5.5895792E-2</v>
      </c>
      <c r="Z189">
        <v>10</v>
      </c>
      <c r="AA189">
        <v>9</v>
      </c>
      <c r="AB189">
        <v>67</v>
      </c>
      <c r="AC189">
        <v>28</v>
      </c>
      <c r="AD189">
        <v>130</v>
      </c>
      <c r="AE189">
        <v>6</v>
      </c>
      <c r="AF189">
        <v>0.6</v>
      </c>
      <c r="AG189">
        <v>0.36</v>
      </c>
      <c r="AH189">
        <v>0.95809999999999995</v>
      </c>
      <c r="AI189">
        <v>0.214256</v>
      </c>
      <c r="AJ189">
        <v>0.11388</v>
      </c>
      <c r="AK189">
        <v>2.2462360000000001</v>
      </c>
    </row>
    <row r="190" spans="1:37">
      <c r="A190" t="s">
        <v>20</v>
      </c>
      <c r="B190">
        <v>12.364856639999999</v>
      </c>
      <c r="C190">
        <v>17.486547949999999</v>
      </c>
      <c r="D190">
        <v>0.60095558500000001</v>
      </c>
      <c r="E190">
        <v>0.84987953800000005</v>
      </c>
      <c r="F190">
        <v>0.59202998799999995</v>
      </c>
      <c r="G190">
        <v>0.83725683900000003</v>
      </c>
      <c r="H190">
        <v>-8.9255959999999992E-3</v>
      </c>
      <c r="I190">
        <v>1.2622698999999999E-2</v>
      </c>
      <c r="J190">
        <v>0</v>
      </c>
      <c r="K190">
        <v>42.817251059999997</v>
      </c>
      <c r="L190">
        <v>37.094569909999997</v>
      </c>
      <c r="M190">
        <v>0</v>
      </c>
      <c r="N190">
        <v>0</v>
      </c>
      <c r="O190">
        <v>1.7645858219999999</v>
      </c>
      <c r="P190">
        <v>1.8028667540000001</v>
      </c>
      <c r="Q190">
        <v>0</v>
      </c>
      <c r="R190">
        <v>0</v>
      </c>
      <c r="S190">
        <v>1.7304099900000001</v>
      </c>
      <c r="T190">
        <v>1.7760899649999999</v>
      </c>
      <c r="U190">
        <v>0</v>
      </c>
      <c r="V190">
        <v>0</v>
      </c>
      <c r="W190">
        <v>-3.4175832000000003E-2</v>
      </c>
      <c r="X190">
        <v>-2.6776788999999999E-2</v>
      </c>
      <c r="Y190">
        <v>0</v>
      </c>
      <c r="Z190">
        <v>21</v>
      </c>
      <c r="AA190">
        <v>26</v>
      </c>
      <c r="AB190">
        <v>165</v>
      </c>
      <c r="AC190">
        <v>9</v>
      </c>
      <c r="AD190">
        <v>0</v>
      </c>
      <c r="AE190">
        <v>29</v>
      </c>
      <c r="AF190">
        <v>1.26</v>
      </c>
      <c r="AG190">
        <v>1.04</v>
      </c>
      <c r="AH190">
        <v>2.3595000000000002</v>
      </c>
      <c r="AI190">
        <v>6.8867999999999999E-2</v>
      </c>
      <c r="AJ190">
        <v>0</v>
      </c>
      <c r="AK190">
        <v>4.7283679999999997</v>
      </c>
    </row>
    <row r="191" spans="1:37">
      <c r="A191" t="s">
        <v>20</v>
      </c>
      <c r="B191">
        <v>27.807315760000002</v>
      </c>
      <c r="C191">
        <v>0.50507042400000002</v>
      </c>
      <c r="D191">
        <v>1.8388494259999999</v>
      </c>
      <c r="E191">
        <v>1.2495377E-2</v>
      </c>
      <c r="F191">
        <v>1.79955073</v>
      </c>
      <c r="G191">
        <v>3.5984599999999999E-3</v>
      </c>
      <c r="H191">
        <v>-3.9298696000000001E-2</v>
      </c>
      <c r="I191">
        <v>1.1757778E-2</v>
      </c>
      <c r="J191">
        <v>27.674283930000001</v>
      </c>
      <c r="K191">
        <v>27.037635959999999</v>
      </c>
      <c r="L191">
        <v>28.296327430000002</v>
      </c>
      <c r="M191">
        <v>28.22101572</v>
      </c>
      <c r="N191">
        <v>1.8294556340000001</v>
      </c>
      <c r="O191">
        <v>1.8591545780000001</v>
      </c>
      <c r="P191">
        <v>1.8277163169999999</v>
      </c>
      <c r="Q191">
        <v>1.8390711749999999</v>
      </c>
      <c r="R191">
        <v>1.7989568469999999</v>
      </c>
      <c r="S191">
        <v>1.7996217269999999</v>
      </c>
      <c r="T191">
        <v>1.7947475289999999</v>
      </c>
      <c r="U191">
        <v>1.8048768159999999</v>
      </c>
      <c r="V191">
        <v>-3.0498786999999999E-2</v>
      </c>
      <c r="W191">
        <v>-5.9532850999999998E-2</v>
      </c>
      <c r="X191">
        <v>-3.2968787999999999E-2</v>
      </c>
      <c r="Y191">
        <v>-3.4194359000000001E-2</v>
      </c>
      <c r="Z191">
        <v>30</v>
      </c>
      <c r="AA191">
        <v>8</v>
      </c>
      <c r="AB191">
        <v>13</v>
      </c>
      <c r="AC191">
        <v>176</v>
      </c>
      <c r="AD191">
        <v>19</v>
      </c>
      <c r="AE191">
        <v>4</v>
      </c>
      <c r="AF191">
        <v>1.8</v>
      </c>
      <c r="AG191">
        <v>0.32</v>
      </c>
      <c r="AH191">
        <v>0.18590000000000001</v>
      </c>
      <c r="AI191">
        <v>1.3467519999999999</v>
      </c>
      <c r="AJ191">
        <v>1.6643999999999999E-2</v>
      </c>
      <c r="AK191">
        <v>3.6692960000000001</v>
      </c>
    </row>
    <row r="192" spans="1:37">
      <c r="A192" t="s">
        <v>20</v>
      </c>
      <c r="B192">
        <v>25.305844610000001</v>
      </c>
      <c r="C192">
        <v>9.4355020790000008</v>
      </c>
      <c r="D192">
        <v>1.5987634040000001</v>
      </c>
      <c r="E192">
        <v>0.18124932599999999</v>
      </c>
      <c r="F192">
        <v>1.5855291579999999</v>
      </c>
      <c r="G192">
        <v>0.18216691400000001</v>
      </c>
      <c r="H192">
        <v>-1.3234246E-2</v>
      </c>
      <c r="I192">
        <v>3.0066099999999998E-3</v>
      </c>
      <c r="J192">
        <v>27.301458010000001</v>
      </c>
      <c r="K192">
        <v>35.73415688</v>
      </c>
      <c r="L192">
        <v>0.19679176400000001</v>
      </c>
      <c r="M192">
        <v>12.881918949999999</v>
      </c>
      <c r="N192">
        <v>1.7860540359999999</v>
      </c>
      <c r="O192">
        <v>1.3535639989999999</v>
      </c>
      <c r="P192">
        <v>1.417485589</v>
      </c>
      <c r="Q192">
        <v>1.6566721769999999</v>
      </c>
      <c r="R192">
        <v>1.7765159399999999</v>
      </c>
      <c r="S192">
        <v>1.3403019570000001</v>
      </c>
      <c r="T192">
        <v>2.172219111</v>
      </c>
      <c r="U192">
        <v>1.639769577</v>
      </c>
      <c r="V192">
        <v>-9.5380959999999994E-3</v>
      </c>
      <c r="W192">
        <v>-1.3262042E-2</v>
      </c>
      <c r="X192">
        <v>0.75473352199999999</v>
      </c>
      <c r="Y192">
        <v>-1.69026E-2</v>
      </c>
      <c r="Z192">
        <v>118</v>
      </c>
      <c r="AA192">
        <v>9</v>
      </c>
      <c r="AB192">
        <v>80</v>
      </c>
      <c r="AC192">
        <v>24</v>
      </c>
      <c r="AD192">
        <v>6</v>
      </c>
      <c r="AE192">
        <v>13</v>
      </c>
      <c r="AF192">
        <v>7.08</v>
      </c>
      <c r="AG192">
        <v>0.36</v>
      </c>
      <c r="AH192">
        <v>1.1439999999999999</v>
      </c>
      <c r="AI192">
        <v>0.18364800000000001</v>
      </c>
      <c r="AJ192">
        <v>5.2560000000000003E-3</v>
      </c>
      <c r="AK192">
        <v>8.7729040000000005</v>
      </c>
    </row>
    <row r="193" spans="1:37">
      <c r="A193" t="s">
        <v>20</v>
      </c>
      <c r="B193">
        <v>11.39277427</v>
      </c>
      <c r="C193">
        <v>16.111815889999999</v>
      </c>
      <c r="D193">
        <v>0.61184980600000005</v>
      </c>
      <c r="E193">
        <v>0.86528629400000001</v>
      </c>
      <c r="F193">
        <v>0.60253897499999998</v>
      </c>
      <c r="G193">
        <v>0.85211879000000001</v>
      </c>
      <c r="H193">
        <v>-9.3108319999999998E-3</v>
      </c>
      <c r="I193">
        <v>1.3167504E-2</v>
      </c>
      <c r="J193">
        <v>46.006416799999997</v>
      </c>
      <c r="K193">
        <v>0</v>
      </c>
      <c r="L193">
        <v>0</v>
      </c>
      <c r="M193">
        <v>34.178322809999997</v>
      </c>
      <c r="N193">
        <v>1.8186788089999999</v>
      </c>
      <c r="O193">
        <v>0</v>
      </c>
      <c r="P193">
        <v>0</v>
      </c>
      <c r="Q193">
        <v>1.8355494189999999</v>
      </c>
      <c r="R193">
        <v>1.7894530449999999</v>
      </c>
      <c r="S193">
        <v>0</v>
      </c>
      <c r="T193">
        <v>0</v>
      </c>
      <c r="U193">
        <v>1.807616924</v>
      </c>
      <c r="V193">
        <v>-2.9225764000000001E-2</v>
      </c>
      <c r="W193">
        <v>0</v>
      </c>
      <c r="X193">
        <v>0</v>
      </c>
      <c r="Y193">
        <v>-2.7932495000000002E-2</v>
      </c>
      <c r="Z193">
        <v>5</v>
      </c>
      <c r="AA193">
        <v>24</v>
      </c>
      <c r="AB193">
        <v>180</v>
      </c>
      <c r="AC193">
        <v>0</v>
      </c>
      <c r="AD193">
        <v>0</v>
      </c>
      <c r="AE193">
        <v>41</v>
      </c>
      <c r="AF193">
        <v>0.3</v>
      </c>
      <c r="AG193">
        <v>0.96</v>
      </c>
      <c r="AH193">
        <v>2.5739999999999998</v>
      </c>
      <c r="AI193">
        <v>0</v>
      </c>
      <c r="AJ193">
        <v>0</v>
      </c>
      <c r="AK193">
        <v>3.8340000000000001</v>
      </c>
    </row>
    <row r="194" spans="1:37">
      <c r="A194" t="s">
        <v>20</v>
      </c>
      <c r="B194">
        <v>15.150188289999999</v>
      </c>
      <c r="C194">
        <v>21.425601749999998</v>
      </c>
      <c r="D194">
        <v>0.62267162600000003</v>
      </c>
      <c r="E194">
        <v>0.88059065800000003</v>
      </c>
      <c r="F194">
        <v>0.61006885700000002</v>
      </c>
      <c r="G194">
        <v>0.86276765200000005</v>
      </c>
      <c r="H194">
        <v>-1.2602768E-2</v>
      </c>
      <c r="I194">
        <v>1.7823005999999999E-2</v>
      </c>
      <c r="J194">
        <v>45.655642</v>
      </c>
      <c r="K194">
        <v>0</v>
      </c>
      <c r="L194">
        <v>0</v>
      </c>
      <c r="M194">
        <v>45.45056486</v>
      </c>
      <c r="N194">
        <v>1.828524746</v>
      </c>
      <c r="O194">
        <v>0</v>
      </c>
      <c r="P194">
        <v>0</v>
      </c>
      <c r="Q194">
        <v>1.868014877</v>
      </c>
      <c r="R194">
        <v>1.8091373120000001</v>
      </c>
      <c r="S194">
        <v>0</v>
      </c>
      <c r="T194">
        <v>0</v>
      </c>
      <c r="U194">
        <v>1.830206572</v>
      </c>
      <c r="V194">
        <v>-1.9387433999999999E-2</v>
      </c>
      <c r="W194">
        <v>0</v>
      </c>
      <c r="X194">
        <v>0</v>
      </c>
      <c r="Y194">
        <v>-3.7808305E-2</v>
      </c>
      <c r="Z194">
        <v>49</v>
      </c>
      <c r="AA194">
        <v>11</v>
      </c>
      <c r="AB194">
        <v>152</v>
      </c>
      <c r="AC194">
        <v>31</v>
      </c>
      <c r="AD194">
        <v>0</v>
      </c>
      <c r="AE194">
        <v>7</v>
      </c>
      <c r="AF194">
        <v>2.94</v>
      </c>
      <c r="AG194">
        <v>0.44</v>
      </c>
      <c r="AH194">
        <v>2.1736</v>
      </c>
      <c r="AI194">
        <v>0.23721200000000001</v>
      </c>
      <c r="AJ194">
        <v>0</v>
      </c>
      <c r="AK194">
        <v>5.7908119999999998</v>
      </c>
    </row>
    <row r="195" spans="1:37">
      <c r="A195" t="s">
        <v>20</v>
      </c>
      <c r="B195">
        <v>50.55623207</v>
      </c>
      <c r="C195">
        <v>4.8119828790000003</v>
      </c>
      <c r="D195">
        <v>1.8903109380000001</v>
      </c>
      <c r="E195">
        <v>5.5040089999999998E-3</v>
      </c>
      <c r="F195">
        <v>1.8143840630000001</v>
      </c>
      <c r="G195">
        <v>8.2970890000000005E-3</v>
      </c>
      <c r="H195">
        <v>-7.5926876000000004E-2</v>
      </c>
      <c r="I195">
        <v>5.7705100000000004E-3</v>
      </c>
      <c r="J195">
        <v>46.40757799</v>
      </c>
      <c r="K195">
        <v>53.060167540000002</v>
      </c>
      <c r="L195">
        <v>45.556772770000002</v>
      </c>
      <c r="M195">
        <v>57.200409980000003</v>
      </c>
      <c r="N195">
        <v>1.8949269529999999</v>
      </c>
      <c r="O195">
        <v>1.8945237420000001</v>
      </c>
      <c r="P195">
        <v>1.890541263</v>
      </c>
      <c r="Q195">
        <v>1.881251794</v>
      </c>
      <c r="R195">
        <v>1.824294329</v>
      </c>
      <c r="S195">
        <v>1.8101634980000001</v>
      </c>
      <c r="T195">
        <v>1.8199995259999999</v>
      </c>
      <c r="U195">
        <v>1.803078897</v>
      </c>
      <c r="V195">
        <v>-7.0632624000000005E-2</v>
      </c>
      <c r="W195">
        <v>-8.4360244000000001E-2</v>
      </c>
      <c r="X195">
        <v>-7.0541736999999993E-2</v>
      </c>
      <c r="Y195">
        <v>-7.8172897000000005E-2</v>
      </c>
      <c r="Z195">
        <v>20</v>
      </c>
      <c r="AA195">
        <v>6</v>
      </c>
      <c r="AB195">
        <v>84</v>
      </c>
      <c r="AC195">
        <v>14</v>
      </c>
      <c r="AD195">
        <v>27</v>
      </c>
      <c r="AE195">
        <v>99</v>
      </c>
      <c r="AF195">
        <v>1.2</v>
      </c>
      <c r="AG195">
        <v>0.24</v>
      </c>
      <c r="AH195">
        <v>1.2012</v>
      </c>
      <c r="AI195">
        <v>0.107128</v>
      </c>
      <c r="AJ195">
        <v>2.3651999999999999E-2</v>
      </c>
      <c r="AK195">
        <v>2.7719800000000001</v>
      </c>
    </row>
    <row r="196" spans="1:37">
      <c r="A196" t="s">
        <v>20</v>
      </c>
      <c r="B196">
        <v>26.231823460000001</v>
      </c>
      <c r="C196">
        <v>0.54109611999999996</v>
      </c>
      <c r="D196">
        <v>1.727758224</v>
      </c>
      <c r="E196">
        <v>3.8415350000000001E-3</v>
      </c>
      <c r="F196">
        <v>1.7040297689999999</v>
      </c>
      <c r="G196">
        <v>4.7504210000000003E-3</v>
      </c>
      <c r="H196">
        <v>-2.3728454999999999E-2</v>
      </c>
      <c r="I196">
        <v>1.3930749999999999E-3</v>
      </c>
      <c r="J196">
        <v>25.42258245</v>
      </c>
      <c r="K196">
        <v>26.103389010000001</v>
      </c>
      <c r="L196">
        <v>26.87409126</v>
      </c>
      <c r="M196">
        <v>26.527231140000001</v>
      </c>
      <c r="N196">
        <v>1.7341274600000001</v>
      </c>
      <c r="O196">
        <v>1.727081731</v>
      </c>
      <c r="P196">
        <v>1.725860824</v>
      </c>
      <c r="Q196">
        <v>1.7239628810000001</v>
      </c>
      <c r="R196">
        <v>1.7122464420000001</v>
      </c>
      <c r="S196">
        <v>1.701469753</v>
      </c>
      <c r="T196">
        <v>1.701517444</v>
      </c>
      <c r="U196">
        <v>1.7008854360000001</v>
      </c>
      <c r="V196">
        <v>-2.1881017999999999E-2</v>
      </c>
      <c r="W196">
        <v>-2.5611978000000001E-2</v>
      </c>
      <c r="X196">
        <v>-2.4343380000000001E-2</v>
      </c>
      <c r="Y196">
        <v>-2.3077444999999999E-2</v>
      </c>
      <c r="Z196">
        <v>32</v>
      </c>
      <c r="AA196">
        <v>118</v>
      </c>
      <c r="AB196">
        <v>13</v>
      </c>
      <c r="AC196">
        <v>30</v>
      </c>
      <c r="AD196">
        <v>49</v>
      </c>
      <c r="AE196">
        <v>8</v>
      </c>
      <c r="AF196">
        <v>1.92</v>
      </c>
      <c r="AG196">
        <v>4.72</v>
      </c>
      <c r="AH196">
        <v>0.18590000000000001</v>
      </c>
      <c r="AI196">
        <v>0.22955999999999999</v>
      </c>
      <c r="AJ196">
        <v>4.2923999999999997E-2</v>
      </c>
      <c r="AK196">
        <v>7.0983840000000002</v>
      </c>
    </row>
    <row r="197" spans="1:37">
      <c r="A197" t="s">
        <v>20</v>
      </c>
      <c r="B197">
        <v>25.473933200000001</v>
      </c>
      <c r="C197">
        <v>0.47549576700000001</v>
      </c>
      <c r="D197">
        <v>2.4454670850000002</v>
      </c>
      <c r="E197">
        <v>0.172468861</v>
      </c>
      <c r="F197">
        <v>2.419571871</v>
      </c>
      <c r="G197">
        <v>0.173048428</v>
      </c>
      <c r="H197">
        <v>-2.5895214E-2</v>
      </c>
      <c r="I197">
        <v>2.3581869999999999E-3</v>
      </c>
      <c r="J197">
        <v>26.062459449999999</v>
      </c>
      <c r="K197">
        <v>25.01883479</v>
      </c>
      <c r="L197">
        <v>24.993694380000001</v>
      </c>
      <c r="M197">
        <v>25.820744189999999</v>
      </c>
      <c r="N197">
        <v>2.5462066910000001</v>
      </c>
      <c r="O197">
        <v>2.5470074089999999</v>
      </c>
      <c r="P197">
        <v>2.541892985</v>
      </c>
      <c r="Q197">
        <v>2.1467612549999999</v>
      </c>
      <c r="R197">
        <v>2.5243106630000001</v>
      </c>
      <c r="S197">
        <v>2.5189968129999998</v>
      </c>
      <c r="T197">
        <v>2.515083127</v>
      </c>
      <c r="U197">
        <v>2.1198968800000002</v>
      </c>
      <c r="V197">
        <v>-2.1896028000000001E-2</v>
      </c>
      <c r="W197">
        <v>-2.8010595999999999E-2</v>
      </c>
      <c r="X197">
        <v>-2.6809857999999999E-2</v>
      </c>
      <c r="Y197">
        <v>-2.6864374999999999E-2</v>
      </c>
      <c r="Z197">
        <v>29</v>
      </c>
      <c r="AA197">
        <v>0</v>
      </c>
      <c r="AB197">
        <v>18</v>
      </c>
      <c r="AC197">
        <v>139</v>
      </c>
      <c r="AD197">
        <v>23</v>
      </c>
      <c r="AE197">
        <v>41</v>
      </c>
      <c r="AF197">
        <v>1.74</v>
      </c>
      <c r="AG197">
        <v>0</v>
      </c>
      <c r="AH197">
        <v>0.25740000000000002</v>
      </c>
      <c r="AI197">
        <v>1.063628</v>
      </c>
      <c r="AJ197">
        <v>2.0147999999999999E-2</v>
      </c>
      <c r="AK197">
        <v>3.0811760000000001</v>
      </c>
    </row>
    <row r="198" spans="1:37">
      <c r="A198" t="s">
        <v>20</v>
      </c>
      <c r="B198">
        <v>20.60367093</v>
      </c>
      <c r="C198">
        <v>1.5259289570000001</v>
      </c>
      <c r="D198">
        <v>2.6335377129999999</v>
      </c>
      <c r="E198">
        <v>2.2713910000000002E-3</v>
      </c>
      <c r="F198">
        <v>2.574778899</v>
      </c>
      <c r="G198">
        <v>2.1218690000000002E-3</v>
      </c>
      <c r="H198">
        <v>-5.8758814999999999E-2</v>
      </c>
      <c r="I198">
        <v>2.0472770000000001E-3</v>
      </c>
      <c r="J198">
        <v>18.124258529999999</v>
      </c>
      <c r="K198">
        <v>20.592528309999999</v>
      </c>
      <c r="L198">
        <v>22.02894096</v>
      </c>
      <c r="M198">
        <v>21.6689559</v>
      </c>
      <c r="N198">
        <v>2.63578834</v>
      </c>
      <c r="O198">
        <v>2.6357060720000001</v>
      </c>
      <c r="P198">
        <v>2.6305845639999998</v>
      </c>
      <c r="Q198">
        <v>2.632071877</v>
      </c>
      <c r="R198">
        <v>2.5736281430000001</v>
      </c>
      <c r="S198">
        <v>2.578453229</v>
      </c>
      <c r="T198">
        <v>2.5735256940000002</v>
      </c>
      <c r="U198">
        <v>2.5735085280000001</v>
      </c>
      <c r="V198">
        <v>-6.2160197E-2</v>
      </c>
      <c r="W198">
        <v>-5.7252842999999998E-2</v>
      </c>
      <c r="X198">
        <v>-5.7058869999999998E-2</v>
      </c>
      <c r="Y198">
        <v>-5.8563349000000001E-2</v>
      </c>
      <c r="Z198">
        <v>7</v>
      </c>
      <c r="AA198">
        <v>0</v>
      </c>
      <c r="AB198">
        <v>28</v>
      </c>
      <c r="AC198">
        <v>21</v>
      </c>
      <c r="AD198">
        <v>127</v>
      </c>
      <c r="AE198">
        <v>67</v>
      </c>
      <c r="AF198">
        <v>0.42</v>
      </c>
      <c r="AG198">
        <v>0</v>
      </c>
      <c r="AH198">
        <v>0.40039999999999998</v>
      </c>
      <c r="AI198">
        <v>0.160692</v>
      </c>
      <c r="AJ198">
        <v>0.111252</v>
      </c>
      <c r="AK198">
        <v>1.092344</v>
      </c>
    </row>
    <row r="199" spans="1:37">
      <c r="A199" t="s">
        <v>20</v>
      </c>
      <c r="B199">
        <v>33.399093780000001</v>
      </c>
      <c r="C199">
        <v>0.15152045</v>
      </c>
      <c r="D199">
        <v>1.793969039</v>
      </c>
      <c r="E199">
        <v>1.3559013E-2</v>
      </c>
      <c r="F199">
        <v>1.774032866</v>
      </c>
      <c r="G199">
        <v>1.1424271999999999E-2</v>
      </c>
      <c r="H199">
        <v>-1.9936173000000001E-2</v>
      </c>
      <c r="I199">
        <v>2.5370089999999998E-3</v>
      </c>
      <c r="J199">
        <v>33.512593109999997</v>
      </c>
      <c r="K199">
        <v>33.477662369999997</v>
      </c>
      <c r="L199">
        <v>33.138236239999998</v>
      </c>
      <c r="M199">
        <v>33.467883380000004</v>
      </c>
      <c r="N199">
        <v>1.7735744090000001</v>
      </c>
      <c r="O199">
        <v>1.792312068</v>
      </c>
      <c r="P199">
        <v>1.7989300070000001</v>
      </c>
      <c r="Q199">
        <v>1.8110596699999999</v>
      </c>
      <c r="R199">
        <v>1.7579396430000001</v>
      </c>
      <c r="S199">
        <v>1.770531291</v>
      </c>
      <c r="T199">
        <v>1.7784069330000001</v>
      </c>
      <c r="U199">
        <v>1.789253596</v>
      </c>
      <c r="V199">
        <v>-1.5634766000000001E-2</v>
      </c>
      <c r="W199">
        <v>-2.1780777000000001E-2</v>
      </c>
      <c r="X199">
        <v>-2.0523073999999999E-2</v>
      </c>
      <c r="Y199">
        <v>-2.1806074000000002E-2</v>
      </c>
      <c r="Z199">
        <v>98</v>
      </c>
      <c r="AA199">
        <v>24</v>
      </c>
      <c r="AB199">
        <v>43</v>
      </c>
      <c r="AC199">
        <v>20</v>
      </c>
      <c r="AD199">
        <v>45</v>
      </c>
      <c r="AE199">
        <v>20</v>
      </c>
      <c r="AF199">
        <v>5.88</v>
      </c>
      <c r="AG199">
        <v>0.96</v>
      </c>
      <c r="AH199">
        <v>0.6149</v>
      </c>
      <c r="AI199">
        <v>0.15304000000000001</v>
      </c>
      <c r="AJ199">
        <v>3.9419999999999997E-2</v>
      </c>
      <c r="AK199">
        <v>7.6473599999999999</v>
      </c>
    </row>
    <row r="200" spans="1:37">
      <c r="A200" t="s">
        <v>20</v>
      </c>
      <c r="B200">
        <v>38.074563849999997</v>
      </c>
      <c r="C200">
        <v>2.3398435860000002</v>
      </c>
      <c r="D200">
        <v>1.767479311</v>
      </c>
      <c r="E200">
        <v>1.7816733000000001E-2</v>
      </c>
      <c r="F200">
        <v>1.7360548680000001</v>
      </c>
      <c r="G200">
        <v>1.9948008999999999E-2</v>
      </c>
      <c r="H200">
        <v>-3.1424443000000003E-2</v>
      </c>
      <c r="I200">
        <v>3.657839E-3</v>
      </c>
      <c r="J200">
        <v>37.528269219999999</v>
      </c>
      <c r="K200">
        <v>36.787762110000003</v>
      </c>
      <c r="L200">
        <v>42.013119179999997</v>
      </c>
      <c r="M200">
        <v>35.969104899999998</v>
      </c>
      <c r="N200">
        <v>1.757595982</v>
      </c>
      <c r="O200">
        <v>1.754487151</v>
      </c>
      <c r="P200">
        <v>1.759660582</v>
      </c>
      <c r="Q200">
        <v>1.7981735270000001</v>
      </c>
      <c r="R200">
        <v>1.7295322689999999</v>
      </c>
      <c r="S200">
        <v>1.7215254019999999</v>
      </c>
      <c r="T200">
        <v>1.722954136</v>
      </c>
      <c r="U200">
        <v>1.7702076630000001</v>
      </c>
      <c r="V200">
        <v>-2.8063713000000001E-2</v>
      </c>
      <c r="W200">
        <v>-3.2961748999999999E-2</v>
      </c>
      <c r="X200">
        <v>-3.6706445999999997E-2</v>
      </c>
      <c r="Y200">
        <v>-2.7965864E-2</v>
      </c>
      <c r="Z200">
        <v>30</v>
      </c>
      <c r="AA200">
        <v>41</v>
      </c>
      <c r="AB200">
        <v>65</v>
      </c>
      <c r="AC200">
        <v>49</v>
      </c>
      <c r="AD200">
        <v>49</v>
      </c>
      <c r="AE200">
        <v>16</v>
      </c>
      <c r="AF200">
        <v>1.8</v>
      </c>
      <c r="AG200">
        <v>1.64</v>
      </c>
      <c r="AH200">
        <v>0.92949999999999999</v>
      </c>
      <c r="AI200">
        <v>0.374948</v>
      </c>
      <c r="AJ200">
        <v>4.2923999999999997E-2</v>
      </c>
      <c r="AK200">
        <v>4.7873720000000004</v>
      </c>
    </row>
    <row r="201" spans="1:37">
      <c r="A201" t="s">
        <v>20</v>
      </c>
      <c r="B201">
        <v>34.285133260000002</v>
      </c>
      <c r="C201">
        <v>1.5049394780000001</v>
      </c>
      <c r="D201">
        <v>1.787855105</v>
      </c>
      <c r="E201">
        <v>2.5628577999999999E-2</v>
      </c>
      <c r="F201">
        <v>1.7631319169999999</v>
      </c>
      <c r="G201">
        <v>2.5281379999999999E-2</v>
      </c>
      <c r="H201">
        <v>-2.4723188E-2</v>
      </c>
      <c r="I201">
        <v>6.1163000000000005E-4</v>
      </c>
      <c r="J201">
        <v>32.995095939999999</v>
      </c>
      <c r="K201">
        <v>33.464165209999997</v>
      </c>
      <c r="L201">
        <v>33.011032479999997</v>
      </c>
      <c r="M201">
        <v>36.396138630000003</v>
      </c>
      <c r="N201">
        <v>1.7518838590000001</v>
      </c>
      <c r="O201">
        <v>1.8019951970000001</v>
      </c>
      <c r="P201">
        <v>2.9281819000000001E-2</v>
      </c>
      <c r="Q201">
        <v>1.8096862600000001</v>
      </c>
      <c r="R201">
        <v>1.727568282</v>
      </c>
      <c r="S201">
        <v>1.777728905</v>
      </c>
      <c r="T201">
        <v>0</v>
      </c>
      <c r="U201">
        <v>1.784098564</v>
      </c>
      <c r="V201">
        <v>-2.4315577000000001E-2</v>
      </c>
      <c r="W201">
        <v>-2.4266291999999998E-2</v>
      </c>
      <c r="X201">
        <v>-2.9281819000000001E-2</v>
      </c>
      <c r="Y201">
        <v>-2.5587696E-2</v>
      </c>
      <c r="Z201">
        <v>80</v>
      </c>
      <c r="AA201">
        <v>48</v>
      </c>
      <c r="AB201">
        <v>13</v>
      </c>
      <c r="AC201">
        <v>41</v>
      </c>
      <c r="AD201">
        <v>52</v>
      </c>
      <c r="AE201">
        <v>16</v>
      </c>
      <c r="AF201">
        <v>4.8</v>
      </c>
      <c r="AG201">
        <v>1.92</v>
      </c>
      <c r="AH201">
        <v>0.18590000000000001</v>
      </c>
      <c r="AI201">
        <v>0.31373200000000001</v>
      </c>
      <c r="AJ201">
        <v>4.5552000000000002E-2</v>
      </c>
      <c r="AK201">
        <v>7.2651839999999996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A842A-3EEB-714A-8D8A-9F3377BD6325}">
  <dimension ref="A1:AK168"/>
  <sheetViews>
    <sheetView topLeftCell="W1" workbookViewId="0">
      <selection activeCell="AK2" sqref="AK2"/>
    </sheetView>
  </sheetViews>
  <sheetFormatPr baseColWidth="10" defaultRowHeight="16"/>
  <sheetData>
    <row r="1" spans="1:37">
      <c r="A1" t="s">
        <v>0</v>
      </c>
      <c r="B1" t="s">
        <v>1</v>
      </c>
      <c r="C1" t="s">
        <v>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</v>
      </c>
      <c r="K1" t="s">
        <v>4</v>
      </c>
      <c r="L1" t="s">
        <v>5</v>
      </c>
      <c r="M1" t="s">
        <v>6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7</v>
      </c>
      <c r="AA1" t="s">
        <v>8</v>
      </c>
      <c r="AB1" t="s">
        <v>9</v>
      </c>
      <c r="AC1" t="s">
        <v>10</v>
      </c>
      <c r="AD1" t="s">
        <v>11</v>
      </c>
      <c r="AE1" t="s">
        <v>12</v>
      </c>
      <c r="AF1" t="s">
        <v>13</v>
      </c>
      <c r="AG1" t="s">
        <v>14</v>
      </c>
      <c r="AH1" t="s">
        <v>15</v>
      </c>
      <c r="AI1" t="s">
        <v>16</v>
      </c>
      <c r="AJ1" t="s">
        <v>17</v>
      </c>
      <c r="AK1" t="s">
        <v>18</v>
      </c>
    </row>
    <row r="2" spans="1:37">
      <c r="A2" t="s">
        <v>19</v>
      </c>
      <c r="B2">
        <v>30.781960569999999</v>
      </c>
      <c r="C2">
        <v>0.41401612399999999</v>
      </c>
      <c r="D2">
        <v>2.1086277130000002</v>
      </c>
      <c r="E2">
        <v>3.7961791000000002E-2</v>
      </c>
      <c r="F2">
        <v>2.1197574499999998</v>
      </c>
      <c r="G2">
        <v>3.8615414000000001E-2</v>
      </c>
      <c r="H2">
        <v>1.1129737000000001E-2</v>
      </c>
      <c r="I2">
        <v>6.6259100000000003E-4</v>
      </c>
      <c r="J2">
        <v>30.64143258</v>
      </c>
      <c r="K2">
        <v>30.3599818</v>
      </c>
      <c r="L2">
        <v>31.344467330000001</v>
      </c>
      <c r="M2">
        <v>8.2629510049999997</v>
      </c>
      <c r="N2">
        <v>2.162263206</v>
      </c>
      <c r="O2">
        <v>2.0838278209999999</v>
      </c>
      <c r="P2">
        <v>2.0797921110000002</v>
      </c>
      <c r="Q2">
        <v>0</v>
      </c>
      <c r="R2">
        <v>2.1743094890000001</v>
      </c>
      <c r="S2">
        <v>2.094668097</v>
      </c>
      <c r="T2">
        <v>2.0902947630000002</v>
      </c>
      <c r="U2">
        <v>0</v>
      </c>
      <c r="V2">
        <v>1.2046283E-2</v>
      </c>
      <c r="W2">
        <v>1.0840275999999999E-2</v>
      </c>
      <c r="X2">
        <v>1.0502651999999999E-2</v>
      </c>
      <c r="Y2">
        <v>0</v>
      </c>
      <c r="Z2">
        <v>96</v>
      </c>
      <c r="AA2">
        <v>40</v>
      </c>
      <c r="AB2">
        <v>0</v>
      </c>
      <c r="AC2">
        <v>49</v>
      </c>
      <c r="AD2">
        <v>62</v>
      </c>
      <c r="AE2">
        <v>3</v>
      </c>
      <c r="AF2">
        <v>5.76</v>
      </c>
      <c r="AG2">
        <v>1.6</v>
      </c>
      <c r="AH2">
        <v>0</v>
      </c>
      <c r="AI2">
        <v>0.78400000000000003</v>
      </c>
      <c r="AJ2">
        <v>5.4311999999999999E-2</v>
      </c>
      <c r="AK2">
        <v>8.1983119999999996</v>
      </c>
    </row>
    <row r="3" spans="1:37">
      <c r="A3" t="s">
        <v>19</v>
      </c>
      <c r="B3">
        <v>54.303136770000002</v>
      </c>
      <c r="C3">
        <v>3.6919955409999998</v>
      </c>
      <c r="D3">
        <v>2.142671327</v>
      </c>
      <c r="E3">
        <v>2.092902E-2</v>
      </c>
      <c r="F3">
        <v>2.1171691959999999</v>
      </c>
      <c r="G3">
        <v>2.7247411999999999E-2</v>
      </c>
      <c r="H3">
        <v>-2.5502131000000001E-2</v>
      </c>
      <c r="I3">
        <v>6.4280179999999998E-3</v>
      </c>
      <c r="J3">
        <v>60.677673669999997</v>
      </c>
      <c r="K3">
        <v>52.096268039999998</v>
      </c>
      <c r="L3">
        <v>52.62771729</v>
      </c>
      <c r="M3">
        <v>51.810888069999997</v>
      </c>
      <c r="N3">
        <v>2.1785378070000001</v>
      </c>
      <c r="O3">
        <v>2.127589634</v>
      </c>
      <c r="P3">
        <v>2.135612842</v>
      </c>
      <c r="Q3">
        <v>2.1289450240000001</v>
      </c>
      <c r="R3">
        <v>2.1640859670000001</v>
      </c>
      <c r="S3">
        <v>2.099564333</v>
      </c>
      <c r="T3">
        <v>2.1063196290000001</v>
      </c>
      <c r="U3">
        <v>2.0987068550000001</v>
      </c>
      <c r="V3">
        <v>-1.4451840000000001E-2</v>
      </c>
      <c r="W3">
        <v>-2.8025300999999999E-2</v>
      </c>
      <c r="X3">
        <v>-2.9293212999999999E-2</v>
      </c>
      <c r="Y3">
        <v>-3.0238168999999999E-2</v>
      </c>
      <c r="Z3">
        <v>46</v>
      </c>
      <c r="AA3">
        <v>0</v>
      </c>
      <c r="AB3">
        <v>53</v>
      </c>
      <c r="AC3">
        <v>29</v>
      </c>
      <c r="AD3">
        <v>86</v>
      </c>
      <c r="AE3">
        <v>36</v>
      </c>
      <c r="AF3">
        <v>2.76</v>
      </c>
      <c r="AG3">
        <v>0</v>
      </c>
      <c r="AH3">
        <v>0.90947999999999996</v>
      </c>
      <c r="AI3">
        <v>0.46400000000000002</v>
      </c>
      <c r="AJ3">
        <v>7.5336E-2</v>
      </c>
      <c r="AK3">
        <v>4.2088159999999997</v>
      </c>
    </row>
    <row r="4" spans="1:37">
      <c r="A4" t="s">
        <v>19</v>
      </c>
      <c r="B4">
        <v>68.993831240000006</v>
      </c>
      <c r="C4">
        <v>4.0296297900000004</v>
      </c>
      <c r="D4">
        <v>2.107413304</v>
      </c>
      <c r="E4">
        <v>3.4903061999999999E-2</v>
      </c>
      <c r="F4">
        <v>2.118287654</v>
      </c>
      <c r="G4">
        <v>3.4923910000000002E-2</v>
      </c>
      <c r="H4">
        <v>1.087435E-2</v>
      </c>
      <c r="I4" s="5" t="s">
        <v>56</v>
      </c>
      <c r="J4">
        <v>62.870183310000002</v>
      </c>
      <c r="K4">
        <v>68.065624549999995</v>
      </c>
      <c r="L4">
        <v>71.590590489999997</v>
      </c>
      <c r="M4">
        <v>73.448926610000001</v>
      </c>
      <c r="N4">
        <v>2.1677743810000001</v>
      </c>
      <c r="O4">
        <v>2.084139645</v>
      </c>
      <c r="P4">
        <v>2.0889997199999999</v>
      </c>
      <c r="Q4">
        <v>2.088739468</v>
      </c>
      <c r="R4">
        <v>2.1786845279999998</v>
      </c>
      <c r="S4">
        <v>2.0949958789999998</v>
      </c>
      <c r="T4">
        <v>2.0998665559999998</v>
      </c>
      <c r="U4">
        <v>2.0996036519999999</v>
      </c>
      <c r="V4">
        <v>1.0910147E-2</v>
      </c>
      <c r="W4">
        <v>1.0856233999999999E-2</v>
      </c>
      <c r="X4">
        <v>1.0866836E-2</v>
      </c>
      <c r="Y4">
        <v>1.0864184000000001E-2</v>
      </c>
      <c r="Z4">
        <v>32</v>
      </c>
      <c r="AA4">
        <v>94</v>
      </c>
      <c r="AB4">
        <v>32</v>
      </c>
      <c r="AC4">
        <v>41</v>
      </c>
      <c r="AD4">
        <v>5</v>
      </c>
      <c r="AE4">
        <v>46</v>
      </c>
      <c r="AF4">
        <v>1.92</v>
      </c>
      <c r="AG4">
        <v>3.76</v>
      </c>
      <c r="AH4">
        <v>0.54912000000000005</v>
      </c>
      <c r="AI4">
        <v>0.65600000000000003</v>
      </c>
      <c r="AJ4">
        <v>4.3800000000000002E-3</v>
      </c>
      <c r="AK4">
        <v>6.8895</v>
      </c>
    </row>
    <row r="5" spans="1:37">
      <c r="A5" t="s">
        <v>19</v>
      </c>
      <c r="B5">
        <v>31.718595910000001</v>
      </c>
      <c r="C5">
        <v>5.449967483</v>
      </c>
      <c r="D5">
        <v>2.6346803059999999</v>
      </c>
      <c r="E5">
        <v>8.4954850000000005E-3</v>
      </c>
      <c r="F5">
        <v>2.6061388820000002</v>
      </c>
      <c r="G5">
        <v>6.854031E-3</v>
      </c>
      <c r="H5">
        <v>-2.8541423E-2</v>
      </c>
      <c r="I5">
        <v>2.0801079999999998E-3</v>
      </c>
      <c r="J5">
        <v>0</v>
      </c>
      <c r="K5">
        <v>33.175797799999998</v>
      </c>
      <c r="L5">
        <v>24.435558270000001</v>
      </c>
      <c r="M5">
        <v>37.54443165</v>
      </c>
      <c r="N5">
        <v>0</v>
      </c>
      <c r="O5">
        <v>2.6253887200000001</v>
      </c>
      <c r="P5">
        <v>2.645922289</v>
      </c>
      <c r="Q5">
        <v>2.632729908</v>
      </c>
      <c r="R5">
        <v>0</v>
      </c>
      <c r="S5">
        <v>2.5977223550000001</v>
      </c>
      <c r="T5">
        <v>2.6145110580000002</v>
      </c>
      <c r="U5">
        <v>2.606183234</v>
      </c>
      <c r="V5">
        <v>0</v>
      </c>
      <c r="W5">
        <v>-2.7666364999999998E-2</v>
      </c>
      <c r="X5">
        <v>-3.1411230999999998E-2</v>
      </c>
      <c r="Y5">
        <v>-2.6546673999999999E-2</v>
      </c>
      <c r="Z5">
        <v>16</v>
      </c>
      <c r="AA5">
        <v>11</v>
      </c>
      <c r="AB5">
        <v>33</v>
      </c>
      <c r="AC5">
        <v>165</v>
      </c>
      <c r="AD5">
        <v>24</v>
      </c>
      <c r="AE5">
        <v>1</v>
      </c>
      <c r="AF5">
        <v>0.96</v>
      </c>
      <c r="AG5">
        <v>0.44</v>
      </c>
      <c r="AH5">
        <v>0.56628000000000001</v>
      </c>
      <c r="AI5">
        <v>2.64</v>
      </c>
      <c r="AJ5">
        <v>2.1024000000000001E-2</v>
      </c>
      <c r="AK5">
        <v>4.6273039999999996</v>
      </c>
    </row>
    <row r="6" spans="1:37">
      <c r="A6" t="s">
        <v>19</v>
      </c>
      <c r="B6">
        <v>14.694912889999999</v>
      </c>
      <c r="C6">
        <v>4.8124658980000001</v>
      </c>
      <c r="D6">
        <v>2.6289392399999998</v>
      </c>
      <c r="E6">
        <v>7.4727231000000005E-2</v>
      </c>
      <c r="F6">
        <v>2.539314675</v>
      </c>
      <c r="G6">
        <v>7.4432334000000003E-2</v>
      </c>
      <c r="H6">
        <v>-8.9624565000000003E-2</v>
      </c>
      <c r="I6">
        <v>6.5130500000000003E-4</v>
      </c>
      <c r="J6">
        <v>11.81408351</v>
      </c>
      <c r="K6">
        <v>33.143314250000003</v>
      </c>
      <c r="L6">
        <v>10.795350190000001</v>
      </c>
      <c r="M6">
        <v>21.475304980000001</v>
      </c>
      <c r="N6">
        <v>2.5232730210000001</v>
      </c>
      <c r="O6">
        <v>2.7330982220000002</v>
      </c>
      <c r="P6">
        <v>2.6832644079999999</v>
      </c>
      <c r="Q6">
        <v>2.6802802899999998</v>
      </c>
      <c r="R6">
        <v>2.4340820010000002</v>
      </c>
      <c r="S6">
        <v>2.6425453929999998</v>
      </c>
      <c r="T6">
        <v>2.5941268649999998</v>
      </c>
      <c r="U6">
        <v>2.589735159</v>
      </c>
      <c r="V6">
        <v>-8.9191019999999996E-2</v>
      </c>
      <c r="W6">
        <v>-9.0552829000000001E-2</v>
      </c>
      <c r="X6">
        <v>-8.9137543E-2</v>
      </c>
      <c r="Y6">
        <v>-9.0545131000000001E-2</v>
      </c>
      <c r="Z6">
        <v>0</v>
      </c>
      <c r="AA6">
        <v>6</v>
      </c>
      <c r="AB6">
        <v>23</v>
      </c>
      <c r="AC6">
        <v>62</v>
      </c>
      <c r="AD6">
        <v>47</v>
      </c>
      <c r="AE6">
        <v>112</v>
      </c>
      <c r="AF6">
        <v>0</v>
      </c>
      <c r="AG6">
        <v>0.24</v>
      </c>
      <c r="AH6">
        <v>0.39467999999999998</v>
      </c>
      <c r="AI6">
        <v>0.99199999999999999</v>
      </c>
      <c r="AJ6">
        <v>4.1172E-2</v>
      </c>
      <c r="AK6">
        <v>1.6678519999999999</v>
      </c>
    </row>
    <row r="7" spans="1:37">
      <c r="A7" t="s">
        <v>20</v>
      </c>
      <c r="B7">
        <v>76.111610380000002</v>
      </c>
      <c r="C7">
        <v>6.2966191440000001</v>
      </c>
      <c r="D7">
        <v>2.6799722890000002</v>
      </c>
      <c r="E7">
        <v>1.9974585999999999E-2</v>
      </c>
      <c r="F7">
        <v>2.6038251539999999</v>
      </c>
      <c r="G7">
        <v>1.9418548000000001E-2</v>
      </c>
      <c r="H7">
        <v>-7.6147135000000005E-2</v>
      </c>
      <c r="I7">
        <v>1.049295E-3</v>
      </c>
      <c r="J7">
        <v>66.763180059999996</v>
      </c>
      <c r="K7">
        <v>81.651632449999994</v>
      </c>
      <c r="L7">
        <v>73.938274199999995</v>
      </c>
      <c r="M7">
        <v>82.093354809999994</v>
      </c>
      <c r="N7">
        <v>2.7142071350000001</v>
      </c>
      <c r="O7">
        <v>2.6719175810000002</v>
      </c>
      <c r="P7">
        <v>2.664024467</v>
      </c>
      <c r="Q7">
        <v>2.6697399709999998</v>
      </c>
      <c r="R7">
        <v>2.6372888130000001</v>
      </c>
      <c r="S7">
        <v>2.5947581820000001</v>
      </c>
      <c r="T7">
        <v>2.58954182</v>
      </c>
      <c r="U7">
        <v>2.5937117989999998</v>
      </c>
      <c r="V7">
        <v>-7.6918321999999997E-2</v>
      </c>
      <c r="W7">
        <v>-7.7159399000000004E-2</v>
      </c>
      <c r="X7">
        <v>-7.4482646999999999E-2</v>
      </c>
      <c r="Y7">
        <v>-7.6028172000000005E-2</v>
      </c>
      <c r="Z7">
        <v>0</v>
      </c>
      <c r="AA7">
        <v>64</v>
      </c>
      <c r="AB7">
        <v>11</v>
      </c>
      <c r="AC7">
        <v>81</v>
      </c>
      <c r="AD7">
        <v>32</v>
      </c>
      <c r="AE7">
        <v>62</v>
      </c>
      <c r="AF7">
        <v>0</v>
      </c>
      <c r="AG7">
        <v>2.56</v>
      </c>
      <c r="AH7">
        <v>0.18876000000000001</v>
      </c>
      <c r="AI7">
        <v>1.296</v>
      </c>
      <c r="AJ7">
        <v>2.8032000000000001E-2</v>
      </c>
      <c r="AK7">
        <v>4.0727919999999997</v>
      </c>
    </row>
    <row r="8" spans="1:37">
      <c r="A8" t="s">
        <v>20</v>
      </c>
      <c r="B8">
        <v>62.250348709999997</v>
      </c>
      <c r="C8">
        <v>0.59550982799999996</v>
      </c>
      <c r="D8">
        <v>2.1180325099999999</v>
      </c>
      <c r="E8">
        <v>1.2376773000000001E-2</v>
      </c>
      <c r="F8">
        <v>2.128869495</v>
      </c>
      <c r="G8">
        <v>1.2390632E-2</v>
      </c>
      <c r="H8">
        <v>1.0836983999999999E-2</v>
      </c>
      <c r="I8" s="5" t="s">
        <v>57</v>
      </c>
      <c r="J8">
        <v>62.023866499999997</v>
      </c>
      <c r="K8">
        <v>62.852363660000002</v>
      </c>
      <c r="L8">
        <v>61.379098910000003</v>
      </c>
      <c r="M8">
        <v>62.746065780000002</v>
      </c>
      <c r="N8">
        <v>2.1393224759999998</v>
      </c>
      <c r="O8">
        <v>2.1095731880000002</v>
      </c>
      <c r="P8">
        <v>2.1132908939999999</v>
      </c>
      <c r="Q8">
        <v>2.1099434829999999</v>
      </c>
      <c r="R8">
        <v>2.150183578</v>
      </c>
      <c r="S8">
        <v>2.120404288</v>
      </c>
      <c r="T8">
        <v>2.1241205220000001</v>
      </c>
      <c r="U8">
        <v>2.1207695900000001</v>
      </c>
      <c r="V8">
        <v>1.0861101999999999E-2</v>
      </c>
      <c r="W8">
        <v>1.08311E-2</v>
      </c>
      <c r="X8">
        <v>1.0829628000000001E-2</v>
      </c>
      <c r="Y8">
        <v>1.0826107E-2</v>
      </c>
      <c r="Z8">
        <v>34</v>
      </c>
      <c r="AA8">
        <v>35</v>
      </c>
      <c r="AB8">
        <v>15</v>
      </c>
      <c r="AC8">
        <v>17</v>
      </c>
      <c r="AD8">
        <v>69</v>
      </c>
      <c r="AE8">
        <v>80</v>
      </c>
      <c r="AF8">
        <v>2.04</v>
      </c>
      <c r="AG8">
        <v>1.4</v>
      </c>
      <c r="AH8">
        <v>0.25740000000000002</v>
      </c>
      <c r="AI8">
        <v>0.27200000000000002</v>
      </c>
      <c r="AJ8">
        <v>6.0443999999999998E-2</v>
      </c>
      <c r="AK8">
        <v>4.0298439999999998</v>
      </c>
    </row>
    <row r="9" spans="1:37">
      <c r="A9" t="s">
        <v>20</v>
      </c>
      <c r="B9">
        <v>31.482183339999999</v>
      </c>
      <c r="C9">
        <v>0.56274434299999998</v>
      </c>
      <c r="D9">
        <v>2.2889043199999999</v>
      </c>
      <c r="E9">
        <v>9.4767201999999995E-2</v>
      </c>
      <c r="F9">
        <v>2.2601293899999999</v>
      </c>
      <c r="G9">
        <v>9.8088981000000006E-2</v>
      </c>
      <c r="H9">
        <v>-2.8774930000000001E-2</v>
      </c>
      <c r="I9">
        <v>9.7175549999999992E-3</v>
      </c>
      <c r="J9">
        <v>31.66153504</v>
      </c>
      <c r="K9">
        <v>32.171096179999999</v>
      </c>
      <c r="L9">
        <v>30.610435259999999</v>
      </c>
      <c r="M9">
        <v>31.485666869999999</v>
      </c>
      <c r="N9">
        <v>2.451493352</v>
      </c>
      <c r="O9">
        <v>2.2488916699999999</v>
      </c>
      <c r="P9">
        <v>2.2413018820000001</v>
      </c>
      <c r="Q9">
        <v>2.2139303749999999</v>
      </c>
      <c r="R9">
        <v>2.4287234400000002</v>
      </c>
      <c r="S9">
        <v>2.2236117210000002</v>
      </c>
      <c r="T9">
        <v>2.195853794</v>
      </c>
      <c r="U9">
        <v>2.192328603</v>
      </c>
      <c r="V9">
        <v>-2.2769912E-2</v>
      </c>
      <c r="W9">
        <v>-2.5279948999999999E-2</v>
      </c>
      <c r="X9">
        <v>-4.5448087999999998E-2</v>
      </c>
      <c r="Y9">
        <v>-2.1601772000000002E-2</v>
      </c>
      <c r="Z9">
        <v>93</v>
      </c>
      <c r="AA9">
        <v>9</v>
      </c>
      <c r="AB9">
        <v>47</v>
      </c>
      <c r="AC9">
        <v>17</v>
      </c>
      <c r="AD9">
        <v>69</v>
      </c>
      <c r="AE9">
        <v>15</v>
      </c>
      <c r="AF9">
        <v>5.58</v>
      </c>
      <c r="AG9">
        <v>0.36</v>
      </c>
      <c r="AH9">
        <v>0.80652000000000001</v>
      </c>
      <c r="AI9">
        <v>0.27200000000000002</v>
      </c>
      <c r="AJ9">
        <v>6.0443999999999998E-2</v>
      </c>
      <c r="AK9">
        <v>7.078964</v>
      </c>
    </row>
    <row r="10" spans="1:37">
      <c r="A10" t="s">
        <v>20</v>
      </c>
      <c r="B10">
        <v>31.69394192</v>
      </c>
      <c r="C10">
        <v>0.80664027900000002</v>
      </c>
      <c r="D10">
        <v>2.2554411409999999</v>
      </c>
      <c r="E10">
        <v>6.9325560000000003E-3</v>
      </c>
      <c r="F10">
        <v>2.213430352</v>
      </c>
      <c r="G10">
        <v>7.8296210000000001E-3</v>
      </c>
      <c r="H10">
        <v>-4.2010789E-2</v>
      </c>
      <c r="I10">
        <v>2.4535749999999999E-3</v>
      </c>
      <c r="J10">
        <v>30.913038790000002</v>
      </c>
      <c r="K10">
        <v>31.379149269999999</v>
      </c>
      <c r="L10">
        <v>31.437583530000001</v>
      </c>
      <c r="M10">
        <v>33.045996070000001</v>
      </c>
      <c r="N10">
        <v>2.2621773790000002</v>
      </c>
      <c r="O10">
        <v>2.2622162590000001</v>
      </c>
      <c r="P10">
        <v>2.2464850279999999</v>
      </c>
      <c r="Q10">
        <v>2.2508858979999999</v>
      </c>
      <c r="R10">
        <v>2.2221739710000001</v>
      </c>
      <c r="S10">
        <v>2.2202458850000002</v>
      </c>
      <c r="T10">
        <v>2.2064463519999999</v>
      </c>
      <c r="U10">
        <v>2.2048551989999998</v>
      </c>
      <c r="V10">
        <v>-4.0003407999999997E-2</v>
      </c>
      <c r="W10">
        <v>-4.1970373999999998E-2</v>
      </c>
      <c r="X10">
        <v>-4.0038676000000002E-2</v>
      </c>
      <c r="Y10">
        <v>-4.6030699000000001E-2</v>
      </c>
      <c r="Z10">
        <v>97</v>
      </c>
      <c r="AA10">
        <v>9</v>
      </c>
      <c r="AB10">
        <v>35</v>
      </c>
      <c r="AC10">
        <v>11</v>
      </c>
      <c r="AD10">
        <v>95</v>
      </c>
      <c r="AE10">
        <v>3</v>
      </c>
      <c r="AF10">
        <v>5.82</v>
      </c>
      <c r="AG10">
        <v>0.36</v>
      </c>
      <c r="AH10">
        <v>0.60060000000000002</v>
      </c>
      <c r="AI10">
        <v>0.17599999999999999</v>
      </c>
      <c r="AJ10">
        <v>8.3220000000000002E-2</v>
      </c>
      <c r="AK10">
        <v>7.0398199999999997</v>
      </c>
    </row>
    <row r="11" spans="1:37">
      <c r="A11" t="s">
        <v>20</v>
      </c>
      <c r="B11">
        <v>57.108653930000003</v>
      </c>
      <c r="C11">
        <v>1.901850088</v>
      </c>
      <c r="D11">
        <v>2.3506561920000002</v>
      </c>
      <c r="E11">
        <v>3.5381479E-2</v>
      </c>
      <c r="F11">
        <v>2.283403463</v>
      </c>
      <c r="G11">
        <v>1.7628652000000002E-2</v>
      </c>
      <c r="H11">
        <v>-6.7252728999999997E-2</v>
      </c>
      <c r="I11">
        <v>2.3088619000000001E-2</v>
      </c>
      <c r="J11">
        <v>60.392302020000002</v>
      </c>
      <c r="K11">
        <v>56.081496450000003</v>
      </c>
      <c r="L11">
        <v>56.186397419999999</v>
      </c>
      <c r="M11">
        <v>55.774419809999998</v>
      </c>
      <c r="N11">
        <v>2.4082621689999999</v>
      </c>
      <c r="O11">
        <v>2.3184303690000001</v>
      </c>
      <c r="P11">
        <v>2.3507795420000002</v>
      </c>
      <c r="Q11">
        <v>2.3251526880000002</v>
      </c>
      <c r="R11">
        <v>2.3125467890000002</v>
      </c>
      <c r="S11">
        <v>2.2731346110000001</v>
      </c>
      <c r="T11">
        <v>2.2665442360000001</v>
      </c>
      <c r="U11">
        <v>2.2813882169999999</v>
      </c>
      <c r="V11">
        <v>-9.5715380000000003E-2</v>
      </c>
      <c r="W11">
        <v>-4.5295757999999998E-2</v>
      </c>
      <c r="X11">
        <v>-8.4235305999999996E-2</v>
      </c>
      <c r="Y11">
        <v>-4.3764470999999999E-2</v>
      </c>
      <c r="Z11">
        <v>8</v>
      </c>
      <c r="AA11">
        <v>64</v>
      </c>
      <c r="AB11">
        <v>36</v>
      </c>
      <c r="AC11">
        <v>11</v>
      </c>
      <c r="AD11">
        <v>27</v>
      </c>
      <c r="AE11">
        <v>104</v>
      </c>
      <c r="AF11">
        <v>0.48</v>
      </c>
      <c r="AG11">
        <v>2.56</v>
      </c>
      <c r="AH11">
        <v>0.61775999999999998</v>
      </c>
      <c r="AI11">
        <v>0.17599999999999999</v>
      </c>
      <c r="AJ11">
        <v>2.3651999999999999E-2</v>
      </c>
      <c r="AK11">
        <v>3.8574120000000001</v>
      </c>
    </row>
    <row r="12" spans="1:37">
      <c r="A12" t="s">
        <v>20</v>
      </c>
      <c r="B12">
        <v>43.705863190000002</v>
      </c>
      <c r="C12">
        <v>2.5175343689999998</v>
      </c>
      <c r="D12">
        <v>2.3794226979999999</v>
      </c>
      <c r="E12">
        <v>0.17099710500000001</v>
      </c>
      <c r="F12">
        <v>2.3166629990000001</v>
      </c>
      <c r="G12">
        <v>0.15670494300000001</v>
      </c>
      <c r="H12">
        <v>-6.2759699000000002E-2</v>
      </c>
      <c r="I12">
        <v>1.5445274E-2</v>
      </c>
      <c r="J12">
        <v>40.312347950000003</v>
      </c>
      <c r="K12">
        <v>42.294432370000003</v>
      </c>
      <c r="L12">
        <v>45.720985489999997</v>
      </c>
      <c r="M12">
        <v>46.49568696</v>
      </c>
      <c r="N12">
        <v>2.6746036110000002</v>
      </c>
      <c r="O12">
        <v>2.303750333</v>
      </c>
      <c r="P12">
        <v>2.2719001310000002</v>
      </c>
      <c r="Q12">
        <v>2.2674367179999999</v>
      </c>
      <c r="R12">
        <v>2.5877931749999998</v>
      </c>
      <c r="S12">
        <v>2.2379905029999998</v>
      </c>
      <c r="T12">
        <v>2.221990398</v>
      </c>
      <c r="U12">
        <v>2.2188779209999998</v>
      </c>
      <c r="V12">
        <v>-8.6810436000000005E-2</v>
      </c>
      <c r="W12">
        <v>-6.5759830000000005E-2</v>
      </c>
      <c r="X12">
        <v>-4.9909732999999998E-2</v>
      </c>
      <c r="Y12">
        <v>-4.8558797000000001E-2</v>
      </c>
      <c r="Z12">
        <v>19</v>
      </c>
      <c r="AA12">
        <v>22</v>
      </c>
      <c r="AB12">
        <v>98</v>
      </c>
      <c r="AC12">
        <v>31</v>
      </c>
      <c r="AD12">
        <v>50</v>
      </c>
      <c r="AE12">
        <v>30</v>
      </c>
      <c r="AF12">
        <v>1.1399999999999999</v>
      </c>
      <c r="AG12">
        <v>0.88</v>
      </c>
      <c r="AH12">
        <v>1.6816800000000001</v>
      </c>
      <c r="AI12">
        <v>0.496</v>
      </c>
      <c r="AJ12">
        <v>4.3799999999999999E-2</v>
      </c>
      <c r="AK12">
        <v>4.2414800000000001</v>
      </c>
    </row>
    <row r="13" spans="1:37">
      <c r="A13" t="s">
        <v>20</v>
      </c>
      <c r="B13">
        <v>51.517902589999998</v>
      </c>
      <c r="C13">
        <v>2.2077946559999999</v>
      </c>
      <c r="D13">
        <v>2.461543249</v>
      </c>
      <c r="E13">
        <v>0.140501874</v>
      </c>
      <c r="F13">
        <v>2.408791275</v>
      </c>
      <c r="G13">
        <v>0.14704925299999999</v>
      </c>
      <c r="H13">
        <v>-5.2751974E-2</v>
      </c>
      <c r="I13">
        <v>2.0063035E-2</v>
      </c>
      <c r="J13">
        <v>48.53236012</v>
      </c>
      <c r="K13">
        <v>50.310159640000002</v>
      </c>
      <c r="L13">
        <v>54.022896170000003</v>
      </c>
      <c r="M13">
        <v>53.206194410000002</v>
      </c>
      <c r="N13">
        <v>2.6701189730000001</v>
      </c>
      <c r="O13">
        <v>2.508606565</v>
      </c>
      <c r="P13">
        <v>2.3168616649999998</v>
      </c>
      <c r="Q13">
        <v>2.350585792</v>
      </c>
      <c r="R13">
        <v>2.6424601320000001</v>
      </c>
      <c r="S13">
        <v>2.4251988560000002</v>
      </c>
      <c r="T13">
        <v>2.2704399940000002</v>
      </c>
      <c r="U13">
        <v>2.2970661159999999</v>
      </c>
      <c r="V13">
        <v>-2.7658841E-2</v>
      </c>
      <c r="W13">
        <v>-8.3407708999999997E-2</v>
      </c>
      <c r="X13">
        <v>-4.6421670999999998E-2</v>
      </c>
      <c r="Y13">
        <v>-5.3519676000000002E-2</v>
      </c>
      <c r="Z13">
        <v>7</v>
      </c>
      <c r="AA13">
        <v>129</v>
      </c>
      <c r="AB13">
        <v>14</v>
      </c>
      <c r="AC13">
        <v>29</v>
      </c>
      <c r="AD13">
        <v>66</v>
      </c>
      <c r="AE13">
        <v>5</v>
      </c>
      <c r="AF13">
        <v>0.42</v>
      </c>
      <c r="AG13">
        <v>5.16</v>
      </c>
      <c r="AH13">
        <v>0.24024000000000001</v>
      </c>
      <c r="AI13">
        <v>0.46400000000000002</v>
      </c>
      <c r="AJ13">
        <v>5.7815999999999999E-2</v>
      </c>
      <c r="AK13">
        <v>6.3420560000000004</v>
      </c>
    </row>
    <row r="14" spans="1:37">
      <c r="A14" t="s">
        <v>20</v>
      </c>
      <c r="B14">
        <v>23.388607310000001</v>
      </c>
      <c r="C14">
        <v>6.1258894709999998</v>
      </c>
      <c r="D14">
        <v>2.3621851459999998</v>
      </c>
      <c r="E14">
        <v>9.3018554000000003E-2</v>
      </c>
      <c r="F14">
        <v>2.321696352</v>
      </c>
      <c r="G14">
        <v>9.0923461999999997E-2</v>
      </c>
      <c r="H14">
        <v>-4.0488794000000002E-2</v>
      </c>
      <c r="I14">
        <v>2.2554950000000002E-3</v>
      </c>
      <c r="J14">
        <v>19.19139363</v>
      </c>
      <c r="K14">
        <v>4.8126750740000004</v>
      </c>
      <c r="L14">
        <v>32.050546439999998</v>
      </c>
      <c r="M14">
        <v>18.923881869999999</v>
      </c>
      <c r="N14">
        <v>2.4932084890000001</v>
      </c>
      <c r="O14">
        <v>2.8370921999999998</v>
      </c>
      <c r="P14">
        <v>2.3068390860000001</v>
      </c>
      <c r="Q14">
        <v>2.2865078620000001</v>
      </c>
      <c r="R14">
        <v>2.4498675460000001</v>
      </c>
      <c r="S14">
        <v>2.818024232</v>
      </c>
      <c r="T14">
        <v>2.2665395080000001</v>
      </c>
      <c r="U14">
        <v>2.2486820019999998</v>
      </c>
      <c r="V14">
        <v>-4.3340943E-2</v>
      </c>
      <c r="W14">
        <v>-1.9067968000000001E-2</v>
      </c>
      <c r="X14">
        <v>-4.0299578000000003E-2</v>
      </c>
      <c r="Y14">
        <v>-3.7825860000000003E-2</v>
      </c>
      <c r="Z14">
        <v>50</v>
      </c>
      <c r="AA14">
        <v>70</v>
      </c>
      <c r="AB14">
        <v>75</v>
      </c>
      <c r="AC14">
        <v>47</v>
      </c>
      <c r="AD14">
        <v>0</v>
      </c>
      <c r="AE14">
        <v>8</v>
      </c>
      <c r="AF14">
        <v>3</v>
      </c>
      <c r="AG14">
        <v>2.8</v>
      </c>
      <c r="AH14">
        <v>1.2869999999999999</v>
      </c>
      <c r="AI14">
        <v>0.752</v>
      </c>
      <c r="AJ14">
        <v>0</v>
      </c>
      <c r="AK14">
        <v>7.8390000000000004</v>
      </c>
    </row>
    <row r="15" spans="1:37">
      <c r="A15" t="s">
        <v>20</v>
      </c>
      <c r="B15">
        <v>33.186792140000001</v>
      </c>
      <c r="C15">
        <v>1.159745477</v>
      </c>
      <c r="D15">
        <v>2.2763790560000001</v>
      </c>
      <c r="E15">
        <v>8.6102479999999992E-3</v>
      </c>
      <c r="F15">
        <v>2.2493888640000002</v>
      </c>
      <c r="G15">
        <v>8.4223300000000004E-3</v>
      </c>
      <c r="H15">
        <v>-2.6990192E-2</v>
      </c>
      <c r="I15">
        <v>2.4678640000000002E-3</v>
      </c>
      <c r="J15">
        <v>23.852209930000001</v>
      </c>
      <c r="K15">
        <v>31.614073829999999</v>
      </c>
      <c r="L15">
        <v>33.570122519999998</v>
      </c>
      <c r="M15">
        <v>34.376180069999997</v>
      </c>
      <c r="N15">
        <v>2.2889333839999999</v>
      </c>
      <c r="O15">
        <v>2.264736675</v>
      </c>
      <c r="P15">
        <v>2.2852898690000001</v>
      </c>
      <c r="Q15">
        <v>2.2791106239999999</v>
      </c>
      <c r="R15">
        <v>2.2649100519999998</v>
      </c>
      <c r="S15">
        <v>2.2394738219999999</v>
      </c>
      <c r="T15">
        <v>2.260062365</v>
      </c>
      <c r="U15">
        <v>2.2486304050000001</v>
      </c>
      <c r="V15">
        <v>-2.4023332000000001E-2</v>
      </c>
      <c r="W15">
        <v>-2.5262852999999998E-2</v>
      </c>
      <c r="X15">
        <v>-2.5227504000000001E-2</v>
      </c>
      <c r="Y15">
        <v>-3.0480218999999999E-2</v>
      </c>
      <c r="Z15">
        <v>44</v>
      </c>
      <c r="AA15">
        <v>129</v>
      </c>
      <c r="AB15">
        <v>0</v>
      </c>
      <c r="AC15">
        <v>44</v>
      </c>
      <c r="AD15">
        <v>17</v>
      </c>
      <c r="AE15">
        <v>16</v>
      </c>
      <c r="AF15">
        <v>2.64</v>
      </c>
      <c r="AG15">
        <v>5.16</v>
      </c>
      <c r="AH15">
        <v>0</v>
      </c>
      <c r="AI15">
        <v>0.70399999999999996</v>
      </c>
      <c r="AJ15">
        <v>1.4892000000000001E-2</v>
      </c>
      <c r="AK15">
        <v>8.5188919999999992</v>
      </c>
    </row>
    <row r="16" spans="1:37">
      <c r="A16" t="s">
        <v>20</v>
      </c>
      <c r="B16">
        <v>36.423434759999999</v>
      </c>
      <c r="C16">
        <v>3.0836865769999999</v>
      </c>
      <c r="D16">
        <v>2.247908529</v>
      </c>
      <c r="E16">
        <v>1.5681247999999998E-2</v>
      </c>
      <c r="F16">
        <v>2.1788701869999998</v>
      </c>
      <c r="G16">
        <v>9.1602920000000004E-3</v>
      </c>
      <c r="H16">
        <v>-6.9038342000000003E-2</v>
      </c>
      <c r="I16">
        <v>7.4625610000000004E-3</v>
      </c>
      <c r="J16">
        <v>39.470660410000001</v>
      </c>
      <c r="K16">
        <v>33.03086631</v>
      </c>
      <c r="L16">
        <v>33.665086209999998</v>
      </c>
      <c r="M16">
        <v>39.527126119999998</v>
      </c>
      <c r="N16">
        <v>2.2625249919999999</v>
      </c>
      <c r="O16">
        <v>2.259947242</v>
      </c>
      <c r="P16">
        <v>2.2461952709999999</v>
      </c>
      <c r="Q16">
        <v>2.2229666099999998</v>
      </c>
      <c r="R16">
        <v>2.1897316400000002</v>
      </c>
      <c r="S16">
        <v>2.185439235</v>
      </c>
      <c r="T16">
        <v>2.173517156</v>
      </c>
      <c r="U16">
        <v>2.1667927150000001</v>
      </c>
      <c r="V16">
        <v>-7.2793352000000006E-2</v>
      </c>
      <c r="W16">
        <v>-7.4508007000000001E-2</v>
      </c>
      <c r="X16">
        <v>-7.2678115000000001E-2</v>
      </c>
      <c r="Y16">
        <v>-5.6173895000000001E-2</v>
      </c>
      <c r="Z16">
        <v>41</v>
      </c>
      <c r="AA16">
        <v>20</v>
      </c>
      <c r="AB16">
        <v>15</v>
      </c>
      <c r="AC16">
        <v>59</v>
      </c>
      <c r="AD16">
        <v>62</v>
      </c>
      <c r="AE16">
        <v>53</v>
      </c>
      <c r="AF16">
        <v>2.46</v>
      </c>
      <c r="AG16">
        <v>0.8</v>
      </c>
      <c r="AH16">
        <v>0.25740000000000002</v>
      </c>
      <c r="AI16">
        <v>0.94399999999999995</v>
      </c>
      <c r="AJ16">
        <v>5.4311999999999999E-2</v>
      </c>
      <c r="AK16">
        <v>4.5157119999999997</v>
      </c>
    </row>
    <row r="17" spans="1:37">
      <c r="A17" t="s">
        <v>20</v>
      </c>
      <c r="B17">
        <v>38.1241658</v>
      </c>
      <c r="C17">
        <v>1.491599205</v>
      </c>
      <c r="D17">
        <v>2.2850294610000002</v>
      </c>
      <c r="E17">
        <v>6.281221E-3</v>
      </c>
      <c r="F17">
        <v>2.246250705</v>
      </c>
      <c r="G17">
        <v>1.3169599000000001E-2</v>
      </c>
      <c r="H17">
        <v>-3.8778755999999998E-2</v>
      </c>
      <c r="I17">
        <v>7.4640339999999996E-3</v>
      </c>
      <c r="J17">
        <v>36.128330040000002</v>
      </c>
      <c r="K17">
        <v>37.672905579999998</v>
      </c>
      <c r="L17">
        <v>38.420800280000002</v>
      </c>
      <c r="M17">
        <v>40.274627279999997</v>
      </c>
      <c r="N17">
        <v>2.2943520780000002</v>
      </c>
      <c r="O17">
        <v>2.2868155830000001</v>
      </c>
      <c r="P17">
        <v>2.2812088030000002</v>
      </c>
      <c r="Q17">
        <v>2.2777413809999998</v>
      </c>
      <c r="R17">
        <v>2.2617911049999999</v>
      </c>
      <c r="S17">
        <v>2.2566469850000002</v>
      </c>
      <c r="T17">
        <v>2.2352585970000001</v>
      </c>
      <c r="U17">
        <v>2.2313061329999999</v>
      </c>
      <c r="V17">
        <v>-3.2560973E-2</v>
      </c>
      <c r="W17">
        <v>-3.0168598000000001E-2</v>
      </c>
      <c r="X17">
        <v>-4.5950206E-2</v>
      </c>
      <c r="Y17">
        <v>-4.6435247999999998E-2</v>
      </c>
      <c r="Z17">
        <v>34</v>
      </c>
      <c r="AA17">
        <v>62</v>
      </c>
      <c r="AB17">
        <v>107</v>
      </c>
      <c r="AC17">
        <v>8</v>
      </c>
      <c r="AD17">
        <v>31</v>
      </c>
      <c r="AE17">
        <v>8</v>
      </c>
      <c r="AF17">
        <v>2.04</v>
      </c>
      <c r="AG17">
        <v>2.48</v>
      </c>
      <c r="AH17">
        <v>1.83612</v>
      </c>
      <c r="AI17">
        <v>0.128</v>
      </c>
      <c r="AJ17">
        <v>2.7156E-2</v>
      </c>
      <c r="AK17">
        <v>6.5112759999999996</v>
      </c>
    </row>
    <row r="18" spans="1:37">
      <c r="A18" t="s">
        <v>20</v>
      </c>
      <c r="B18">
        <v>58.848869129999997</v>
      </c>
      <c r="C18">
        <v>0.57550815099999997</v>
      </c>
      <c r="D18">
        <v>2.3741536779999999</v>
      </c>
      <c r="E18">
        <v>0.29003782099999997</v>
      </c>
      <c r="F18">
        <v>2.6764086580000002</v>
      </c>
      <c r="G18">
        <v>1.4286489999999999E-3</v>
      </c>
      <c r="H18">
        <v>0.30225498000000001</v>
      </c>
      <c r="I18">
        <v>0.29082805699999997</v>
      </c>
      <c r="J18">
        <v>56.412074140000001</v>
      </c>
      <c r="K18">
        <v>58.264071639999997</v>
      </c>
      <c r="L18">
        <v>58.651040000000002</v>
      </c>
      <c r="M18">
        <v>59.631495749999999</v>
      </c>
      <c r="N18">
        <v>2.8477686869999999</v>
      </c>
      <c r="O18">
        <v>2.160124551</v>
      </c>
      <c r="P18">
        <v>2.7841972109999999</v>
      </c>
      <c r="Q18">
        <v>2.1781392730000002</v>
      </c>
      <c r="R18">
        <v>2.739842527</v>
      </c>
      <c r="S18">
        <v>2.6784278270000001</v>
      </c>
      <c r="T18">
        <v>2.675337646</v>
      </c>
      <c r="U18">
        <v>2.675460502</v>
      </c>
      <c r="V18">
        <v>-0.10792615999999999</v>
      </c>
      <c r="W18">
        <v>0.51830327600000003</v>
      </c>
      <c r="X18">
        <v>-0.10885956500000001</v>
      </c>
      <c r="Y18">
        <v>0.49732122899999998</v>
      </c>
      <c r="Z18">
        <v>0</v>
      </c>
      <c r="AA18">
        <v>74</v>
      </c>
      <c r="AB18">
        <v>18</v>
      </c>
      <c r="AC18">
        <v>13</v>
      </c>
      <c r="AD18">
        <v>21</v>
      </c>
      <c r="AE18">
        <v>124</v>
      </c>
      <c r="AF18">
        <v>0</v>
      </c>
      <c r="AG18">
        <v>2.96</v>
      </c>
      <c r="AH18">
        <v>0.30887999999999999</v>
      </c>
      <c r="AI18">
        <v>0.20799999999999999</v>
      </c>
      <c r="AJ18">
        <v>1.8395999999999999E-2</v>
      </c>
      <c r="AK18">
        <v>3.495276</v>
      </c>
    </row>
    <row r="19" spans="1:37">
      <c r="A19" t="s">
        <v>20</v>
      </c>
      <c r="B19">
        <v>23.152601600000001</v>
      </c>
      <c r="C19">
        <v>0.86662507300000002</v>
      </c>
      <c r="D19">
        <v>2.2721864539999999</v>
      </c>
      <c r="E19">
        <v>8.8183970000000004E-3</v>
      </c>
      <c r="F19">
        <v>2.2289328689999999</v>
      </c>
      <c r="G19">
        <v>8.8448350000000005E-3</v>
      </c>
      <c r="H19">
        <v>-4.3253584999999997E-2</v>
      </c>
      <c r="I19">
        <v>3.6947299999999999E-4</v>
      </c>
      <c r="J19">
        <v>21.74183743</v>
      </c>
      <c r="K19">
        <v>23.414746829999999</v>
      </c>
      <c r="L19">
        <v>23.34907668</v>
      </c>
      <c r="M19">
        <v>24.104745470000001</v>
      </c>
      <c r="N19">
        <v>2.2846621389999999</v>
      </c>
      <c r="O19">
        <v>2.276315946</v>
      </c>
      <c r="P19">
        <v>2.2643814309999999</v>
      </c>
      <c r="Q19">
        <v>2.2633863010000002</v>
      </c>
      <c r="R19">
        <v>2.2417841059999999</v>
      </c>
      <c r="S19">
        <v>2.232503431</v>
      </c>
      <c r="T19">
        <v>2.2210248739999998</v>
      </c>
      <c r="U19">
        <v>2.2204190659999998</v>
      </c>
      <c r="V19">
        <v>-4.2878033000000003E-2</v>
      </c>
      <c r="W19">
        <v>-4.3812515000000003E-2</v>
      </c>
      <c r="X19">
        <v>-4.3356556999999997E-2</v>
      </c>
      <c r="Y19">
        <v>-4.2967234999999999E-2</v>
      </c>
      <c r="Z19">
        <v>102</v>
      </c>
      <c r="AA19">
        <v>82</v>
      </c>
      <c r="AB19">
        <v>40</v>
      </c>
      <c r="AC19">
        <v>8</v>
      </c>
      <c r="AD19">
        <v>0</v>
      </c>
      <c r="AE19">
        <v>18</v>
      </c>
      <c r="AF19">
        <v>6.12</v>
      </c>
      <c r="AG19">
        <v>3.28</v>
      </c>
      <c r="AH19">
        <v>0.68640000000000001</v>
      </c>
      <c r="AI19">
        <v>0.128</v>
      </c>
      <c r="AJ19">
        <v>0</v>
      </c>
      <c r="AK19">
        <v>10.214399999999999</v>
      </c>
    </row>
    <row r="20" spans="1:37">
      <c r="A20" t="s">
        <v>20</v>
      </c>
      <c r="B20">
        <v>30.063353320000001</v>
      </c>
      <c r="C20">
        <v>7.8783411999999997E-2</v>
      </c>
      <c r="D20">
        <v>2.2471939230000002</v>
      </c>
      <c r="E20">
        <v>1.8352172E-2</v>
      </c>
      <c r="F20">
        <v>2.209603499</v>
      </c>
      <c r="G20">
        <v>1.6323151000000001E-2</v>
      </c>
      <c r="H20">
        <v>-3.7590423999999997E-2</v>
      </c>
      <c r="I20">
        <v>3.3744679999999998E-3</v>
      </c>
      <c r="J20">
        <v>30.160255809999999</v>
      </c>
      <c r="K20">
        <v>6.0677227309999999</v>
      </c>
      <c r="L20">
        <v>30.062522130000001</v>
      </c>
      <c r="M20">
        <v>29.967282019999999</v>
      </c>
      <c r="N20">
        <v>2.266816709</v>
      </c>
      <c r="O20">
        <v>2.762739791</v>
      </c>
      <c r="P20">
        <v>2.2520935130000002</v>
      </c>
      <c r="Q20">
        <v>2.2226715459999999</v>
      </c>
      <c r="R20">
        <v>2.224498444</v>
      </c>
      <c r="S20">
        <v>2.7424467799999999</v>
      </c>
      <c r="T20">
        <v>2.217429316</v>
      </c>
      <c r="U20">
        <v>2.1868827369999999</v>
      </c>
      <c r="V20">
        <v>-4.2318265000000001E-2</v>
      </c>
      <c r="W20">
        <v>-2.0293011E-2</v>
      </c>
      <c r="X20">
        <v>-3.4664197000000001E-2</v>
      </c>
      <c r="Y20">
        <v>-3.5788808999999998E-2</v>
      </c>
      <c r="Z20">
        <v>72</v>
      </c>
      <c r="AA20">
        <v>48</v>
      </c>
      <c r="AB20">
        <v>32</v>
      </c>
      <c r="AC20">
        <v>40</v>
      </c>
      <c r="AD20">
        <v>58</v>
      </c>
      <c r="AE20">
        <v>0</v>
      </c>
      <c r="AF20">
        <v>4.32</v>
      </c>
      <c r="AG20">
        <v>1.92</v>
      </c>
      <c r="AH20">
        <v>0.54912000000000005</v>
      </c>
      <c r="AI20">
        <v>0.64</v>
      </c>
      <c r="AJ20">
        <v>5.0807999999999999E-2</v>
      </c>
      <c r="AK20">
        <v>7.4799280000000001</v>
      </c>
    </row>
    <row r="21" spans="1:37">
      <c r="A21" t="s">
        <v>20</v>
      </c>
      <c r="B21">
        <v>47.311128490000002</v>
      </c>
      <c r="C21">
        <v>2.2054369500000002</v>
      </c>
      <c r="D21">
        <v>2.1236921510000002</v>
      </c>
      <c r="E21">
        <v>1.7457548E-2</v>
      </c>
      <c r="F21">
        <v>2.1351435740000002</v>
      </c>
      <c r="G21">
        <v>1.7704655999999999E-2</v>
      </c>
      <c r="H21">
        <v>1.1451423000000001E-2</v>
      </c>
      <c r="I21">
        <v>5.8127700000000005E-4</v>
      </c>
      <c r="J21">
        <v>44.648926019999998</v>
      </c>
      <c r="K21">
        <v>45.780494679999997</v>
      </c>
      <c r="L21">
        <v>48.621509500000002</v>
      </c>
      <c r="M21">
        <v>50.193583750000002</v>
      </c>
      <c r="N21">
        <v>2.1533241520000002</v>
      </c>
      <c r="O21">
        <v>2.118524136</v>
      </c>
      <c r="P21">
        <v>2.1142039439999998</v>
      </c>
      <c r="Q21">
        <v>2.1087163709999999</v>
      </c>
      <c r="R21">
        <v>2.165350337</v>
      </c>
      <c r="S21">
        <v>2.129383448</v>
      </c>
      <c r="T21">
        <v>2.1250850620000001</v>
      </c>
      <c r="U21">
        <v>2.1207554489999998</v>
      </c>
      <c r="V21">
        <v>1.2026185E-2</v>
      </c>
      <c r="W21">
        <v>1.0859311999999999E-2</v>
      </c>
      <c r="X21">
        <v>1.0881118E-2</v>
      </c>
      <c r="Y21">
        <v>1.2039078E-2</v>
      </c>
      <c r="Z21">
        <v>76</v>
      </c>
      <c r="AA21">
        <v>14</v>
      </c>
      <c r="AB21">
        <v>61</v>
      </c>
      <c r="AC21">
        <v>7</v>
      </c>
      <c r="AD21">
        <v>40</v>
      </c>
      <c r="AE21">
        <v>52</v>
      </c>
      <c r="AF21">
        <v>4.5599999999999996</v>
      </c>
      <c r="AG21">
        <v>0.56000000000000005</v>
      </c>
      <c r="AH21">
        <v>1.0467599999999999</v>
      </c>
      <c r="AI21">
        <v>0.112</v>
      </c>
      <c r="AJ21">
        <v>3.5040000000000002E-2</v>
      </c>
      <c r="AK21">
        <v>6.3137999999999996</v>
      </c>
    </row>
    <row r="22" spans="1:37">
      <c r="A22" t="s">
        <v>20</v>
      </c>
      <c r="B22">
        <v>52.919012199999997</v>
      </c>
      <c r="C22">
        <v>1.196550217</v>
      </c>
      <c r="D22">
        <v>2.2569648130000002</v>
      </c>
      <c r="E22">
        <v>0.17562481899999999</v>
      </c>
      <c r="F22">
        <v>2.2680422010000001</v>
      </c>
      <c r="G22">
        <v>0.17549140299999999</v>
      </c>
      <c r="H22">
        <v>1.1077388000000001E-2</v>
      </c>
      <c r="I22">
        <v>6.0147800000000002E-4</v>
      </c>
      <c r="J22">
        <v>51.830983000000003</v>
      </c>
      <c r="K22">
        <v>52.00406117</v>
      </c>
      <c r="L22">
        <v>52.998541920000001</v>
      </c>
      <c r="M22">
        <v>54.842462689999998</v>
      </c>
      <c r="N22">
        <v>2.5611124639999998</v>
      </c>
      <c r="O22">
        <v>2.160398083</v>
      </c>
      <c r="P22">
        <v>2.1536544929999999</v>
      </c>
      <c r="Q22">
        <v>2.152694211</v>
      </c>
      <c r="R22">
        <v>2.5719693920000002</v>
      </c>
      <c r="S22">
        <v>2.1709410870000001</v>
      </c>
      <c r="T22">
        <v>2.1644658589999999</v>
      </c>
      <c r="U22">
        <v>2.164792464</v>
      </c>
      <c r="V22">
        <v>1.0856928E-2</v>
      </c>
      <c r="W22">
        <v>1.0543004E-2</v>
      </c>
      <c r="X22">
        <v>1.0811365999999999E-2</v>
      </c>
      <c r="Y22">
        <v>1.2098253E-2</v>
      </c>
      <c r="Z22">
        <v>11</v>
      </c>
      <c r="AA22">
        <v>138</v>
      </c>
      <c r="AB22">
        <v>35</v>
      </c>
      <c r="AC22">
        <v>55</v>
      </c>
      <c r="AD22">
        <v>5</v>
      </c>
      <c r="AE22">
        <v>6</v>
      </c>
      <c r="AF22">
        <v>0.66</v>
      </c>
      <c r="AG22">
        <v>5.52</v>
      </c>
      <c r="AH22">
        <v>0.60060000000000002</v>
      </c>
      <c r="AI22">
        <v>0.88</v>
      </c>
      <c r="AJ22">
        <v>4.3800000000000002E-3</v>
      </c>
      <c r="AK22">
        <v>7.6649799999999999</v>
      </c>
    </row>
    <row r="23" spans="1:37">
      <c r="A23" t="s">
        <v>20</v>
      </c>
      <c r="B23">
        <v>48.737567069999997</v>
      </c>
      <c r="C23">
        <v>0.81577231699999997</v>
      </c>
      <c r="D23">
        <v>2.126659375</v>
      </c>
      <c r="E23">
        <v>2.3808737E-2</v>
      </c>
      <c r="F23">
        <v>2.1374737640000001</v>
      </c>
      <c r="G23">
        <v>2.3800347999999999E-2</v>
      </c>
      <c r="H23">
        <v>1.0814389000000001E-2</v>
      </c>
      <c r="I23" s="5" t="s">
        <v>58</v>
      </c>
      <c r="J23">
        <v>49.630594649999999</v>
      </c>
      <c r="K23">
        <v>47.657309740000002</v>
      </c>
      <c r="L23">
        <v>48.248105510000002</v>
      </c>
      <c r="M23">
        <v>49.414258369999999</v>
      </c>
      <c r="N23">
        <v>2.1677579200000001</v>
      </c>
      <c r="O23">
        <v>2.1151116220000001</v>
      </c>
      <c r="P23">
        <v>2.1139282690000001</v>
      </c>
      <c r="Q23">
        <v>2.1098396890000002</v>
      </c>
      <c r="R23">
        <v>2.1785585369999998</v>
      </c>
      <c r="S23">
        <v>2.1259388210000001</v>
      </c>
      <c r="T23">
        <v>2.1247257249999998</v>
      </c>
      <c r="U23">
        <v>2.1206719719999998</v>
      </c>
      <c r="V23">
        <v>1.0800617E-2</v>
      </c>
      <c r="W23">
        <v>1.0827198999999999E-2</v>
      </c>
      <c r="X23">
        <v>1.0797456E-2</v>
      </c>
      <c r="Y23">
        <v>1.0832283E-2</v>
      </c>
      <c r="Z23">
        <v>75</v>
      </c>
      <c r="AA23">
        <v>56</v>
      </c>
      <c r="AB23">
        <v>24</v>
      </c>
      <c r="AC23">
        <v>8</v>
      </c>
      <c r="AD23">
        <v>56</v>
      </c>
      <c r="AE23">
        <v>31</v>
      </c>
      <c r="AF23">
        <v>4.5</v>
      </c>
      <c r="AG23">
        <v>2.2400000000000002</v>
      </c>
      <c r="AH23">
        <v>0.41183999999999998</v>
      </c>
      <c r="AI23">
        <v>0.128</v>
      </c>
      <c r="AJ23">
        <v>4.9056000000000002E-2</v>
      </c>
      <c r="AK23">
        <v>7.3288960000000003</v>
      </c>
    </row>
    <row r="24" spans="1:37">
      <c r="A24" t="s">
        <v>20</v>
      </c>
      <c r="B24">
        <v>53.487805760000001</v>
      </c>
      <c r="C24">
        <v>1.609883478</v>
      </c>
      <c r="D24">
        <v>2.1273991639999998</v>
      </c>
      <c r="E24">
        <v>2.0639744000000002E-2</v>
      </c>
      <c r="F24">
        <v>2.1381094140000001</v>
      </c>
      <c r="G24">
        <v>2.0565620999999999E-2</v>
      </c>
      <c r="H24">
        <v>1.0710249999999999E-2</v>
      </c>
      <c r="I24">
        <v>1.57214E-4</v>
      </c>
      <c r="J24">
        <v>55.018066769999997</v>
      </c>
      <c r="K24">
        <v>50.833620119999999</v>
      </c>
      <c r="L24">
        <v>54.467437680000003</v>
      </c>
      <c r="M24">
        <v>53.632098450000001</v>
      </c>
      <c r="N24">
        <v>2.1630810399999998</v>
      </c>
      <c r="O24">
        <v>2.115737894</v>
      </c>
      <c r="P24">
        <v>2.1136112520000001</v>
      </c>
      <c r="Q24">
        <v>2.1171664680000002</v>
      </c>
      <c r="R24">
        <v>2.17366072</v>
      </c>
      <c r="S24">
        <v>2.1262704440000002</v>
      </c>
      <c r="T24">
        <v>2.124438729</v>
      </c>
      <c r="U24">
        <v>2.1280677610000001</v>
      </c>
      <c r="V24">
        <v>1.0579679999999999E-2</v>
      </c>
      <c r="W24">
        <v>1.053255E-2</v>
      </c>
      <c r="X24">
        <v>1.0827477E-2</v>
      </c>
      <c r="Y24">
        <v>1.0901292999999999E-2</v>
      </c>
      <c r="Z24">
        <v>51</v>
      </c>
      <c r="AA24">
        <v>29</v>
      </c>
      <c r="AB24">
        <v>20</v>
      </c>
      <c r="AC24">
        <v>38</v>
      </c>
      <c r="AD24">
        <v>90</v>
      </c>
      <c r="AE24">
        <v>22</v>
      </c>
      <c r="AF24">
        <v>3.06</v>
      </c>
      <c r="AG24">
        <v>1.1599999999999999</v>
      </c>
      <c r="AH24">
        <v>0.34320000000000001</v>
      </c>
      <c r="AI24">
        <v>0.60799999999999998</v>
      </c>
      <c r="AJ24">
        <v>7.8839999999999993E-2</v>
      </c>
      <c r="AK24">
        <v>5.2500400000000003</v>
      </c>
    </row>
    <row r="25" spans="1:37">
      <c r="A25" t="s">
        <v>20</v>
      </c>
      <c r="B25">
        <v>47.272526310000003</v>
      </c>
      <c r="C25">
        <v>1.3008676530000001</v>
      </c>
      <c r="D25">
        <v>2.2744868550000001</v>
      </c>
      <c r="E25">
        <v>0.170118619</v>
      </c>
      <c r="F25">
        <v>2.2430458679999998</v>
      </c>
      <c r="G25">
        <v>0.165128992</v>
      </c>
      <c r="H25">
        <v>-3.1440986999999997E-2</v>
      </c>
      <c r="I25">
        <v>5.7311059999999997E-3</v>
      </c>
      <c r="J25">
        <v>48.125055119999999</v>
      </c>
      <c r="K25">
        <v>46.834254659999999</v>
      </c>
      <c r="L25">
        <v>48.763092440000001</v>
      </c>
      <c r="M25">
        <v>45.36770301</v>
      </c>
      <c r="N25">
        <v>2.569112198</v>
      </c>
      <c r="O25">
        <v>2.1746767789999999</v>
      </c>
      <c r="P25">
        <v>2.1801402740000002</v>
      </c>
      <c r="Q25">
        <v>2.174018169</v>
      </c>
      <c r="R25">
        <v>2.5290179560000001</v>
      </c>
      <c r="S25">
        <v>2.1432282410000001</v>
      </c>
      <c r="T25">
        <v>2.1499475939999999</v>
      </c>
      <c r="U25">
        <v>2.1499896820000002</v>
      </c>
      <c r="V25">
        <v>-4.0094242000000002E-2</v>
      </c>
      <c r="W25">
        <v>-3.1448537999999998E-2</v>
      </c>
      <c r="X25">
        <v>-3.019268E-2</v>
      </c>
      <c r="Y25">
        <v>-2.4028487000000001E-2</v>
      </c>
      <c r="Z25">
        <v>14</v>
      </c>
      <c r="AA25">
        <v>7</v>
      </c>
      <c r="AB25">
        <v>91</v>
      </c>
      <c r="AC25">
        <v>85</v>
      </c>
      <c r="AD25">
        <v>16</v>
      </c>
      <c r="AE25">
        <v>37</v>
      </c>
      <c r="AF25">
        <v>0.84</v>
      </c>
      <c r="AG25">
        <v>0.28000000000000003</v>
      </c>
      <c r="AH25">
        <v>1.5615600000000001</v>
      </c>
      <c r="AI25">
        <v>1.36</v>
      </c>
      <c r="AJ25">
        <v>1.4016000000000001E-2</v>
      </c>
      <c r="AK25">
        <v>4.0555760000000003</v>
      </c>
    </row>
    <row r="26" spans="1:37">
      <c r="A26" t="s">
        <v>20</v>
      </c>
      <c r="B26">
        <v>42.962014070000002</v>
      </c>
      <c r="C26">
        <v>6.6191313679999997</v>
      </c>
      <c r="D26">
        <v>2.1189547919999998</v>
      </c>
      <c r="E26">
        <v>5.5998790000000003E-3</v>
      </c>
      <c r="F26">
        <v>2.1124274810000001</v>
      </c>
      <c r="G26">
        <v>2.22383E-3</v>
      </c>
      <c r="H26">
        <v>-6.5273110000000001E-3</v>
      </c>
      <c r="I26">
        <v>5.6730690000000002E-3</v>
      </c>
      <c r="J26">
        <v>32.626092559999996</v>
      </c>
      <c r="K26">
        <v>33.602269880000001</v>
      </c>
      <c r="L26">
        <v>47.516420369999999</v>
      </c>
      <c r="M26">
        <v>47.767351949999998</v>
      </c>
      <c r="N26">
        <v>2.1951788250000002</v>
      </c>
      <c r="O26">
        <v>2.125977867</v>
      </c>
      <c r="P26">
        <v>2.112273826</v>
      </c>
      <c r="Q26">
        <v>2.1186126820000002</v>
      </c>
      <c r="R26">
        <v>2.174851018</v>
      </c>
      <c r="S26">
        <v>2.111455544</v>
      </c>
      <c r="T26">
        <v>2.110323154</v>
      </c>
      <c r="U26">
        <v>2.1155037449999998</v>
      </c>
      <c r="V26">
        <v>-2.0327807E-2</v>
      </c>
      <c r="W26">
        <v>-1.4522323E-2</v>
      </c>
      <c r="X26">
        <v>-1.9506720000000001E-3</v>
      </c>
      <c r="Y26">
        <v>-3.108937E-3</v>
      </c>
      <c r="Z26">
        <v>67</v>
      </c>
      <c r="AA26">
        <v>32</v>
      </c>
      <c r="AB26">
        <v>35</v>
      </c>
      <c r="AC26">
        <v>75</v>
      </c>
      <c r="AD26">
        <v>9</v>
      </c>
      <c r="AE26">
        <v>32</v>
      </c>
      <c r="AF26">
        <v>4.0199999999999996</v>
      </c>
      <c r="AG26">
        <v>1.28</v>
      </c>
      <c r="AH26">
        <v>0.60060000000000002</v>
      </c>
      <c r="AI26">
        <v>1.2</v>
      </c>
      <c r="AJ26">
        <v>7.8840000000000004E-3</v>
      </c>
      <c r="AK26">
        <v>7.1084839999999998</v>
      </c>
    </row>
    <row r="27" spans="1:37">
      <c r="A27" t="s">
        <v>20</v>
      </c>
      <c r="B27">
        <v>81.35880152</v>
      </c>
      <c r="C27">
        <v>1.6291448260000001</v>
      </c>
      <c r="D27">
        <v>2.140045599</v>
      </c>
      <c r="E27">
        <v>7.9500549999999993E-3</v>
      </c>
      <c r="F27">
        <v>2.1264069760000002</v>
      </c>
      <c r="G27">
        <v>9.6273690000000002E-3</v>
      </c>
      <c r="H27">
        <v>-1.3638622E-2</v>
      </c>
      <c r="I27">
        <v>1.7340967999999998E-2</v>
      </c>
      <c r="J27">
        <v>83.662539679999995</v>
      </c>
      <c r="K27">
        <v>80.234539769999998</v>
      </c>
      <c r="L27">
        <v>80.179325109999994</v>
      </c>
      <c r="M27">
        <v>42.143792269999999</v>
      </c>
      <c r="N27">
        <v>2.1290523280000002</v>
      </c>
      <c r="O27">
        <v>2.1475833259999999</v>
      </c>
      <c r="P27">
        <v>2.1435011419999999</v>
      </c>
      <c r="Q27">
        <v>2.1773489129999999</v>
      </c>
      <c r="R27">
        <v>2.1399262530000001</v>
      </c>
      <c r="S27">
        <v>2.1210441979999999</v>
      </c>
      <c r="T27">
        <v>2.1182504780000002</v>
      </c>
      <c r="U27">
        <v>2.1386329960000001</v>
      </c>
      <c r="V27">
        <v>1.0873925E-2</v>
      </c>
      <c r="W27">
        <v>-2.6539127999999999E-2</v>
      </c>
      <c r="X27">
        <v>-2.5250663999999999E-2</v>
      </c>
      <c r="Y27">
        <v>-3.8715917000000002E-2</v>
      </c>
      <c r="Z27">
        <v>9</v>
      </c>
      <c r="AA27">
        <v>6</v>
      </c>
      <c r="AB27">
        <v>130</v>
      </c>
      <c r="AC27">
        <v>0</v>
      </c>
      <c r="AD27">
        <v>28</v>
      </c>
      <c r="AE27">
        <v>77</v>
      </c>
      <c r="AF27">
        <v>0.54</v>
      </c>
      <c r="AG27">
        <v>0.24</v>
      </c>
      <c r="AH27">
        <v>2.2307999999999999</v>
      </c>
      <c r="AI27">
        <v>0</v>
      </c>
      <c r="AJ27">
        <v>2.4528000000000001E-2</v>
      </c>
      <c r="AK27">
        <v>3.0353279999999998</v>
      </c>
    </row>
    <row r="28" spans="1:37">
      <c r="A28" t="s">
        <v>20</v>
      </c>
      <c r="B28">
        <v>31.37578126</v>
      </c>
      <c r="C28">
        <v>1.644013897</v>
      </c>
      <c r="D28">
        <v>2.121596872</v>
      </c>
      <c r="E28">
        <v>3.3747661999999998E-2</v>
      </c>
      <c r="F28">
        <v>2.1327054790000002</v>
      </c>
      <c r="G28">
        <v>3.3565062999999999E-2</v>
      </c>
      <c r="H28">
        <v>1.1108608000000001E-2</v>
      </c>
      <c r="I28">
        <v>3.9774800000000001E-4</v>
      </c>
      <c r="J28">
        <v>28.615324609999998</v>
      </c>
      <c r="K28">
        <v>32.077968929999997</v>
      </c>
      <c r="L28">
        <v>31.86653729</v>
      </c>
      <c r="M28">
        <v>32.943294209999998</v>
      </c>
      <c r="N28">
        <v>2.1796127190000001</v>
      </c>
      <c r="O28">
        <v>2.108924284</v>
      </c>
      <c r="P28">
        <v>2.0996934199999999</v>
      </c>
      <c r="Q28">
        <v>2.098157064</v>
      </c>
      <c r="R28">
        <v>2.1904480780000002</v>
      </c>
      <c r="S28">
        <v>2.1198156510000001</v>
      </c>
      <c r="T28">
        <v>2.1106053070000002</v>
      </c>
      <c r="U28">
        <v>2.1099528809999999</v>
      </c>
      <c r="V28">
        <v>1.0835358999999999E-2</v>
      </c>
      <c r="W28">
        <v>1.0891367000000001E-2</v>
      </c>
      <c r="X28">
        <v>1.0911887E-2</v>
      </c>
      <c r="Y28">
        <v>1.1795817E-2</v>
      </c>
      <c r="Z28">
        <v>111</v>
      </c>
      <c r="AA28">
        <v>55</v>
      </c>
      <c r="AB28">
        <v>5</v>
      </c>
      <c r="AC28">
        <v>22</v>
      </c>
      <c r="AD28">
        <v>37</v>
      </c>
      <c r="AE28">
        <v>20</v>
      </c>
      <c r="AF28">
        <v>6.66</v>
      </c>
      <c r="AG28">
        <v>2.2000000000000002</v>
      </c>
      <c r="AH28">
        <v>8.5800000000000001E-2</v>
      </c>
      <c r="AI28">
        <v>0.35199999999999998</v>
      </c>
      <c r="AJ28">
        <v>3.2412000000000003E-2</v>
      </c>
      <c r="AK28">
        <v>9.3302119999999995</v>
      </c>
    </row>
    <row r="29" spans="1:37">
      <c r="A29" t="s">
        <v>20</v>
      </c>
      <c r="B29">
        <v>54.229676699999999</v>
      </c>
      <c r="C29">
        <v>0.91140406600000001</v>
      </c>
      <c r="D29">
        <v>2.117981565</v>
      </c>
      <c r="E29">
        <v>2.0508582000000001E-2</v>
      </c>
      <c r="F29">
        <v>2.129160825</v>
      </c>
      <c r="G29">
        <v>2.0291528E-2</v>
      </c>
      <c r="H29">
        <v>1.117926E-2</v>
      </c>
      <c r="I29">
        <v>5.22606E-4</v>
      </c>
      <c r="J29">
        <v>55.786956570000001</v>
      </c>
      <c r="K29">
        <v>53.657787079999999</v>
      </c>
      <c r="L29">
        <v>53.943081290000002</v>
      </c>
      <c r="M29">
        <v>53.530881860000001</v>
      </c>
      <c r="N29">
        <v>2.1532483419999999</v>
      </c>
      <c r="O29">
        <v>2.1086830070000002</v>
      </c>
      <c r="P29">
        <v>2.107738329</v>
      </c>
      <c r="Q29">
        <v>2.1022565809999998</v>
      </c>
      <c r="R29">
        <v>2.164141807</v>
      </c>
      <c r="S29">
        <v>2.1195550170000002</v>
      </c>
      <c r="T29">
        <v>2.118605616</v>
      </c>
      <c r="U29">
        <v>2.11434086</v>
      </c>
      <c r="V29">
        <v>1.0893465E-2</v>
      </c>
      <c r="W29">
        <v>1.087201E-2</v>
      </c>
      <c r="X29">
        <v>1.0867287E-2</v>
      </c>
      <c r="Y29">
        <v>1.2084279E-2</v>
      </c>
      <c r="Z29">
        <v>75</v>
      </c>
      <c r="AA29">
        <v>24</v>
      </c>
      <c r="AB29">
        <v>0</v>
      </c>
      <c r="AC29">
        <v>40</v>
      </c>
      <c r="AD29">
        <v>25</v>
      </c>
      <c r="AE29">
        <v>86</v>
      </c>
      <c r="AF29">
        <v>4.5</v>
      </c>
      <c r="AG29">
        <v>0.96</v>
      </c>
      <c r="AH29">
        <v>0</v>
      </c>
      <c r="AI29">
        <v>0.64</v>
      </c>
      <c r="AJ29">
        <v>2.1899999999999999E-2</v>
      </c>
      <c r="AK29">
        <v>6.1219000000000001</v>
      </c>
    </row>
    <row r="30" spans="1:37">
      <c r="A30" t="s">
        <v>20</v>
      </c>
      <c r="B30">
        <v>36.471089929999998</v>
      </c>
      <c r="C30">
        <v>1.3399094680000001</v>
      </c>
      <c r="D30">
        <v>2.1181123629999998</v>
      </c>
      <c r="E30">
        <v>3.2393848000000003E-2</v>
      </c>
      <c r="F30">
        <v>2.1291979799999998</v>
      </c>
      <c r="G30">
        <v>3.2264067E-2</v>
      </c>
      <c r="H30">
        <v>1.1085617000000001E-2</v>
      </c>
      <c r="I30">
        <v>3.9984900000000003E-4</v>
      </c>
      <c r="J30">
        <v>35.882115390000003</v>
      </c>
      <c r="K30">
        <v>34.594279489999998</v>
      </c>
      <c r="L30">
        <v>38.072813879999998</v>
      </c>
      <c r="M30">
        <v>37.335150970000001</v>
      </c>
      <c r="N30">
        <v>2.1738400150000001</v>
      </c>
      <c r="O30">
        <v>2.1045856999999999</v>
      </c>
      <c r="P30">
        <v>2.0939752610000002</v>
      </c>
      <c r="Q30">
        <v>2.1000484770000001</v>
      </c>
      <c r="R30">
        <v>2.184683696</v>
      </c>
      <c r="S30">
        <v>2.115485075</v>
      </c>
      <c r="T30">
        <v>2.104798191</v>
      </c>
      <c r="U30">
        <v>2.1118249589999998</v>
      </c>
      <c r="V30">
        <v>1.0843681000000001E-2</v>
      </c>
      <c r="W30">
        <v>1.0899374999999999E-2</v>
      </c>
      <c r="X30">
        <v>1.082293E-2</v>
      </c>
      <c r="Y30">
        <v>1.1776482E-2</v>
      </c>
      <c r="Z30">
        <v>83</v>
      </c>
      <c r="AA30">
        <v>31</v>
      </c>
      <c r="AB30">
        <v>56</v>
      </c>
      <c r="AC30">
        <v>12</v>
      </c>
      <c r="AD30">
        <v>67</v>
      </c>
      <c r="AE30">
        <v>1</v>
      </c>
      <c r="AF30">
        <v>4.9800000000000004</v>
      </c>
      <c r="AG30">
        <v>1.24</v>
      </c>
      <c r="AH30">
        <v>0.96096000000000004</v>
      </c>
      <c r="AI30">
        <v>0.192</v>
      </c>
      <c r="AJ30">
        <v>5.8692000000000001E-2</v>
      </c>
      <c r="AK30">
        <v>7.4316519999999997</v>
      </c>
    </row>
    <row r="31" spans="1:37">
      <c r="A31" t="s">
        <v>20</v>
      </c>
      <c r="B31">
        <v>45.851937460000002</v>
      </c>
      <c r="C31">
        <v>0.896009308</v>
      </c>
      <c r="D31">
        <v>2.107334292</v>
      </c>
      <c r="E31">
        <v>1.2711482E-2</v>
      </c>
      <c r="F31">
        <v>2.1180911820000001</v>
      </c>
      <c r="G31">
        <v>1.2592228E-2</v>
      </c>
      <c r="H31">
        <v>1.075689E-2</v>
      </c>
      <c r="I31">
        <v>1.2295599999999999E-4</v>
      </c>
      <c r="J31">
        <v>59.817874379999999</v>
      </c>
      <c r="K31">
        <v>47.097755820000003</v>
      </c>
      <c r="L31">
        <v>45.028525199999997</v>
      </c>
      <c r="M31">
        <v>45.429531369999999</v>
      </c>
      <c r="N31">
        <v>2.2289551799999998</v>
      </c>
      <c r="O31">
        <v>2.1243987670000002</v>
      </c>
      <c r="P31">
        <v>2.1036985229999998</v>
      </c>
      <c r="Q31">
        <v>2.0939055849999999</v>
      </c>
      <c r="R31">
        <v>2.2398405229999998</v>
      </c>
      <c r="S31">
        <v>2.1349822610000002</v>
      </c>
      <c r="T31">
        <v>2.1145308140000001</v>
      </c>
      <c r="U31">
        <v>2.1047604710000001</v>
      </c>
      <c r="V31">
        <v>1.0885343E-2</v>
      </c>
      <c r="W31">
        <v>1.0583494000000001E-2</v>
      </c>
      <c r="X31">
        <v>1.0832291000000001E-2</v>
      </c>
      <c r="Y31">
        <v>1.0854885999999999E-2</v>
      </c>
      <c r="Z31">
        <v>19</v>
      </c>
      <c r="AA31">
        <v>69</v>
      </c>
      <c r="AB31">
        <v>55</v>
      </c>
      <c r="AC31">
        <v>53</v>
      </c>
      <c r="AD31">
        <v>50</v>
      </c>
      <c r="AE31">
        <v>4</v>
      </c>
      <c r="AF31">
        <v>1.1399999999999999</v>
      </c>
      <c r="AG31">
        <v>2.76</v>
      </c>
      <c r="AH31">
        <v>0.94379999999999997</v>
      </c>
      <c r="AI31">
        <v>0.84799999999999998</v>
      </c>
      <c r="AJ31">
        <v>4.3799999999999999E-2</v>
      </c>
      <c r="AK31">
        <v>5.7355999999999998</v>
      </c>
    </row>
    <row r="32" spans="1:37">
      <c r="A32" t="s">
        <v>20</v>
      </c>
      <c r="B32">
        <v>45.575221730000003</v>
      </c>
      <c r="C32">
        <v>4.6352895170000004</v>
      </c>
      <c r="D32">
        <v>2.105604568</v>
      </c>
      <c r="E32">
        <v>1.5167217E-2</v>
      </c>
      <c r="F32">
        <v>2.0862660910000002</v>
      </c>
      <c r="G32">
        <v>7.7089749999999999E-3</v>
      </c>
      <c r="H32">
        <v>-1.9338477999999999E-2</v>
      </c>
      <c r="I32">
        <v>2.1368054000000001E-2</v>
      </c>
      <c r="J32">
        <v>64.734439940000001</v>
      </c>
      <c r="K32">
        <v>52.110673419999998</v>
      </c>
      <c r="L32">
        <v>41.866171979999997</v>
      </c>
      <c r="M32">
        <v>42.7488198</v>
      </c>
      <c r="N32">
        <v>2.1686778979999999</v>
      </c>
      <c r="O32">
        <v>2.0849861029999999</v>
      </c>
      <c r="P32">
        <v>2.1210349210000001</v>
      </c>
      <c r="Q32">
        <v>2.1107926809999999</v>
      </c>
      <c r="R32">
        <v>2.1795513789999998</v>
      </c>
      <c r="S32">
        <v>2.0958577730000001</v>
      </c>
      <c r="T32">
        <v>2.0859582529999998</v>
      </c>
      <c r="U32">
        <v>2.076982246</v>
      </c>
      <c r="V32">
        <v>1.0873481000000001E-2</v>
      </c>
      <c r="W32">
        <v>1.087167E-2</v>
      </c>
      <c r="X32">
        <v>-3.5076667999999998E-2</v>
      </c>
      <c r="Y32">
        <v>-3.3810435E-2</v>
      </c>
      <c r="Z32">
        <v>19</v>
      </c>
      <c r="AA32">
        <v>62</v>
      </c>
      <c r="AB32">
        <v>53</v>
      </c>
      <c r="AC32">
        <v>78</v>
      </c>
      <c r="AD32">
        <v>21</v>
      </c>
      <c r="AE32">
        <v>17</v>
      </c>
      <c r="AF32">
        <v>1.1399999999999999</v>
      </c>
      <c r="AG32">
        <v>2.48</v>
      </c>
      <c r="AH32">
        <v>0.90947999999999996</v>
      </c>
      <c r="AI32">
        <v>1.248</v>
      </c>
      <c r="AJ32">
        <v>1.8395999999999999E-2</v>
      </c>
      <c r="AK32">
        <v>5.7958759999999998</v>
      </c>
    </row>
    <row r="33" spans="1:37">
      <c r="A33" t="s">
        <v>20</v>
      </c>
      <c r="B33">
        <v>48.902810879999997</v>
      </c>
      <c r="C33">
        <v>0.54733436599999996</v>
      </c>
      <c r="D33">
        <v>2.091183606</v>
      </c>
      <c r="E33">
        <v>1.1650617E-2</v>
      </c>
      <c r="F33">
        <v>2.1020343119999998</v>
      </c>
      <c r="G33">
        <v>1.1635571000000001E-2</v>
      </c>
      <c r="H33">
        <v>1.0850706E-2</v>
      </c>
      <c r="I33" s="5" t="s">
        <v>59</v>
      </c>
      <c r="J33">
        <v>49.722037149999998</v>
      </c>
      <c r="K33">
        <v>48.890901829999997</v>
      </c>
      <c r="L33">
        <v>48.182020139999999</v>
      </c>
      <c r="M33">
        <v>48.81628439</v>
      </c>
      <c r="N33">
        <v>2.110481246</v>
      </c>
      <c r="O33">
        <v>2.089318021</v>
      </c>
      <c r="P33">
        <v>2.079717134</v>
      </c>
      <c r="Q33">
        <v>2.0852180229999999</v>
      </c>
      <c r="R33">
        <v>2.1213125819999998</v>
      </c>
      <c r="S33">
        <v>2.1001552819999998</v>
      </c>
      <c r="T33">
        <v>2.0905963710000002</v>
      </c>
      <c r="U33">
        <v>2.0960730120000002</v>
      </c>
      <c r="V33">
        <v>1.0831336E-2</v>
      </c>
      <c r="W33">
        <v>1.0837261000000001E-2</v>
      </c>
      <c r="X33">
        <v>1.0879237E-2</v>
      </c>
      <c r="Y33">
        <v>1.0854989000000001E-2</v>
      </c>
      <c r="Z33">
        <v>28</v>
      </c>
      <c r="AA33">
        <v>0</v>
      </c>
      <c r="AB33">
        <v>208</v>
      </c>
      <c r="AC33">
        <v>6</v>
      </c>
      <c r="AD33">
        <v>0</v>
      </c>
      <c r="AE33">
        <v>8</v>
      </c>
      <c r="AF33">
        <v>1.68</v>
      </c>
      <c r="AG33">
        <v>0</v>
      </c>
      <c r="AH33">
        <v>3.56928</v>
      </c>
      <c r="AI33">
        <v>9.6000000000000002E-2</v>
      </c>
      <c r="AJ33">
        <v>0</v>
      </c>
      <c r="AK33">
        <v>5.3452799999999998</v>
      </c>
    </row>
    <row r="34" spans="1:37">
      <c r="A34" t="s">
        <v>20</v>
      </c>
      <c r="B34">
        <v>65.934770760000006</v>
      </c>
      <c r="C34">
        <v>1.254527884</v>
      </c>
      <c r="D34">
        <v>2.1019295320000002</v>
      </c>
      <c r="E34">
        <v>2.9693020000000001E-2</v>
      </c>
      <c r="F34">
        <v>2.1127785690000001</v>
      </c>
      <c r="G34">
        <v>2.9705781000000001E-2</v>
      </c>
      <c r="H34">
        <v>1.0849037000000001E-2</v>
      </c>
      <c r="I34" s="5" t="s">
        <v>60</v>
      </c>
      <c r="J34">
        <v>64.516713190000004</v>
      </c>
      <c r="K34">
        <v>66.362826420000005</v>
      </c>
      <c r="L34">
        <v>65.086047399999998</v>
      </c>
      <c r="M34">
        <v>67.773496019999996</v>
      </c>
      <c r="N34">
        <v>2.1529601469999999</v>
      </c>
      <c r="O34">
        <v>2.0862072600000001</v>
      </c>
      <c r="P34">
        <v>2.0893767740000002</v>
      </c>
      <c r="Q34">
        <v>2.0791739480000002</v>
      </c>
      <c r="R34">
        <v>2.1638299700000001</v>
      </c>
      <c r="S34">
        <v>2.0970358130000002</v>
      </c>
      <c r="T34">
        <v>2.1002381259999998</v>
      </c>
      <c r="U34">
        <v>2.0900103670000001</v>
      </c>
      <c r="V34">
        <v>1.0869823000000001E-2</v>
      </c>
      <c r="W34">
        <v>1.0828552999999999E-2</v>
      </c>
      <c r="X34">
        <v>1.0861351999999999E-2</v>
      </c>
      <c r="Y34">
        <v>1.0836419E-2</v>
      </c>
      <c r="Z34">
        <v>31</v>
      </c>
      <c r="AA34">
        <v>34</v>
      </c>
      <c r="AB34">
        <v>101</v>
      </c>
      <c r="AC34">
        <v>30</v>
      </c>
      <c r="AD34">
        <v>5</v>
      </c>
      <c r="AE34">
        <v>49</v>
      </c>
      <c r="AF34">
        <v>1.86</v>
      </c>
      <c r="AG34">
        <v>1.36</v>
      </c>
      <c r="AH34">
        <v>1.73316</v>
      </c>
      <c r="AI34">
        <v>0.48</v>
      </c>
      <c r="AJ34">
        <v>4.3800000000000002E-3</v>
      </c>
      <c r="AK34">
        <v>5.4375400000000003</v>
      </c>
    </row>
    <row r="35" spans="1:37">
      <c r="A35" t="s">
        <v>20</v>
      </c>
      <c r="B35">
        <v>61.084253680000003</v>
      </c>
      <c r="C35">
        <v>1.0855852779999999</v>
      </c>
      <c r="D35">
        <v>2.1089630150000001</v>
      </c>
      <c r="E35">
        <v>3.2325211E-2</v>
      </c>
      <c r="F35">
        <v>2.1198147679999999</v>
      </c>
      <c r="G35">
        <v>3.2317671999999999E-2</v>
      </c>
      <c r="H35">
        <v>1.0851753E-2</v>
      </c>
      <c r="I35" s="5" t="s">
        <v>61</v>
      </c>
      <c r="J35">
        <v>62.764786770000001</v>
      </c>
      <c r="K35">
        <v>60.490275990000001</v>
      </c>
      <c r="L35">
        <v>59.852979140000002</v>
      </c>
      <c r="M35">
        <v>61.228972820000003</v>
      </c>
      <c r="N35">
        <v>2.1646238470000001</v>
      </c>
      <c r="O35">
        <v>2.0958186699999999</v>
      </c>
      <c r="P35">
        <v>2.089277848</v>
      </c>
      <c r="Q35">
        <v>2.0861316950000002</v>
      </c>
      <c r="R35">
        <v>2.175466626</v>
      </c>
      <c r="S35">
        <v>2.106636044</v>
      </c>
      <c r="T35">
        <v>2.1001492179999999</v>
      </c>
      <c r="U35">
        <v>2.0970071849999998</v>
      </c>
      <c r="V35">
        <v>1.0842779E-2</v>
      </c>
      <c r="W35">
        <v>1.0817373999999999E-2</v>
      </c>
      <c r="X35">
        <v>1.087137E-2</v>
      </c>
      <c r="Y35">
        <v>1.087549E-2</v>
      </c>
      <c r="Z35">
        <v>43</v>
      </c>
      <c r="AA35">
        <v>31</v>
      </c>
      <c r="AB35">
        <v>48</v>
      </c>
      <c r="AC35">
        <v>47</v>
      </c>
      <c r="AD35">
        <v>23</v>
      </c>
      <c r="AE35">
        <v>58</v>
      </c>
      <c r="AF35">
        <v>2.58</v>
      </c>
      <c r="AG35">
        <v>1.24</v>
      </c>
      <c r="AH35">
        <v>0.82367999999999997</v>
      </c>
      <c r="AI35">
        <v>0.752</v>
      </c>
      <c r="AJ35">
        <v>2.0147999999999999E-2</v>
      </c>
      <c r="AK35">
        <v>5.4158280000000003</v>
      </c>
    </row>
    <row r="36" spans="1:37">
      <c r="A36" t="s">
        <v>20</v>
      </c>
      <c r="B36">
        <v>35.254031910000002</v>
      </c>
      <c r="C36">
        <v>6.2191053649999999</v>
      </c>
      <c r="D36">
        <v>2.2945694849999998</v>
      </c>
      <c r="E36">
        <v>9.9036220999999994E-2</v>
      </c>
      <c r="F36">
        <v>2.3054180089999998</v>
      </c>
      <c r="G36">
        <v>9.9032069E-2</v>
      </c>
      <c r="H36">
        <v>1.0848524E-2</v>
      </c>
      <c r="I36" s="5" t="s">
        <v>62</v>
      </c>
      <c r="J36">
        <v>30.876989689999998</v>
      </c>
      <c r="K36">
        <v>44.049143170000001</v>
      </c>
      <c r="L36">
        <v>65.271019249999995</v>
      </c>
      <c r="M36">
        <v>30.83596288</v>
      </c>
      <c r="N36">
        <v>2.1681058310000001</v>
      </c>
      <c r="O36">
        <v>2.4099306490000001</v>
      </c>
      <c r="P36">
        <v>2.1442854160000002</v>
      </c>
      <c r="Q36">
        <v>2.305671974</v>
      </c>
      <c r="R36">
        <v>2.1789468009999999</v>
      </c>
      <c r="S36">
        <v>2.4207573670000002</v>
      </c>
      <c r="T36">
        <v>2.15512244</v>
      </c>
      <c r="U36">
        <v>2.3165498580000001</v>
      </c>
      <c r="V36">
        <v>1.084097E-2</v>
      </c>
      <c r="W36">
        <v>1.0826718000000001E-2</v>
      </c>
      <c r="X36">
        <v>1.0837024000000001E-2</v>
      </c>
      <c r="Y36">
        <v>1.0877884000000001E-2</v>
      </c>
      <c r="Z36">
        <v>33</v>
      </c>
      <c r="AA36">
        <v>0</v>
      </c>
      <c r="AB36">
        <v>119</v>
      </c>
      <c r="AC36">
        <v>49</v>
      </c>
      <c r="AD36">
        <v>8</v>
      </c>
      <c r="AE36">
        <v>41</v>
      </c>
      <c r="AF36">
        <v>1.98</v>
      </c>
      <c r="AG36">
        <v>0</v>
      </c>
      <c r="AH36">
        <v>2.0420400000000001</v>
      </c>
      <c r="AI36">
        <v>0.78400000000000003</v>
      </c>
      <c r="AJ36">
        <v>7.0080000000000003E-3</v>
      </c>
      <c r="AK36">
        <v>4.8130480000000002</v>
      </c>
    </row>
    <row r="37" spans="1:37">
      <c r="A37" t="s">
        <v>20</v>
      </c>
      <c r="B37">
        <v>28.77786815</v>
      </c>
      <c r="C37">
        <v>2.5963635740000002</v>
      </c>
      <c r="D37">
        <v>2.0734870490000001</v>
      </c>
      <c r="E37">
        <v>1.9905808000000001E-2</v>
      </c>
      <c r="F37">
        <v>2.0851133370000001</v>
      </c>
      <c r="G37">
        <v>2.1038804000000001E-2</v>
      </c>
      <c r="H37">
        <v>1.1626288E-2</v>
      </c>
      <c r="I37">
        <v>1.132999E-3</v>
      </c>
      <c r="J37">
        <v>29.883992589999998</v>
      </c>
      <c r="K37">
        <v>38.071040060000001</v>
      </c>
      <c r="L37">
        <v>31.256970540000001</v>
      </c>
      <c r="M37">
        <v>25.192641309999999</v>
      </c>
      <c r="N37">
        <v>2.1016357490000002</v>
      </c>
      <c r="O37">
        <v>2.0630544230000001</v>
      </c>
      <c r="P37">
        <v>2.0590967579999999</v>
      </c>
      <c r="Q37">
        <v>2.0597286399999999</v>
      </c>
      <c r="R37">
        <v>2.114864147</v>
      </c>
      <c r="S37">
        <v>2.075132918</v>
      </c>
      <c r="T37">
        <v>2.0699004630000002</v>
      </c>
      <c r="U37">
        <v>2.0705754000000001</v>
      </c>
      <c r="V37">
        <v>1.3228398000000001E-2</v>
      </c>
      <c r="W37">
        <v>1.2078495E-2</v>
      </c>
      <c r="X37">
        <v>1.0803705E-2</v>
      </c>
      <c r="Y37">
        <v>1.084676E-2</v>
      </c>
      <c r="Z37">
        <v>88</v>
      </c>
      <c r="AA37">
        <v>5</v>
      </c>
      <c r="AB37">
        <v>99</v>
      </c>
      <c r="AC37">
        <v>21</v>
      </c>
      <c r="AD37">
        <v>0</v>
      </c>
      <c r="AE37">
        <v>37</v>
      </c>
      <c r="AF37">
        <v>5.28</v>
      </c>
      <c r="AG37">
        <v>0.2</v>
      </c>
      <c r="AH37">
        <v>1.6988399999999999</v>
      </c>
      <c r="AI37">
        <v>0.33600000000000002</v>
      </c>
      <c r="AJ37">
        <v>0</v>
      </c>
      <c r="AK37">
        <v>7.5148400000000004</v>
      </c>
    </row>
    <row r="38" spans="1:37">
      <c r="A38" t="s">
        <v>20</v>
      </c>
      <c r="B38">
        <v>91.50545056</v>
      </c>
      <c r="C38">
        <v>1.92531071</v>
      </c>
      <c r="D38">
        <v>2.70396562</v>
      </c>
      <c r="E38">
        <v>1.0217636E-2</v>
      </c>
      <c r="F38">
        <v>2.6638942120000002</v>
      </c>
      <c r="G38">
        <v>1.0226008999999999E-2</v>
      </c>
      <c r="H38">
        <v>-4.0071408000000003E-2</v>
      </c>
      <c r="I38" s="5" t="s">
        <v>63</v>
      </c>
      <c r="J38">
        <v>89.661542299999994</v>
      </c>
      <c r="K38">
        <v>90.059571309999995</v>
      </c>
      <c r="L38">
        <v>91.749385739999994</v>
      </c>
      <c r="M38">
        <v>94.551302899999996</v>
      </c>
      <c r="N38">
        <v>2.708443344</v>
      </c>
      <c r="O38">
        <v>2.6887764550000002</v>
      </c>
      <c r="P38">
        <v>2.701922959</v>
      </c>
      <c r="Q38">
        <v>2.7167197230000002</v>
      </c>
      <c r="R38">
        <v>2.6683446439999998</v>
      </c>
      <c r="S38">
        <v>2.6486888039999998</v>
      </c>
      <c r="T38">
        <v>2.6618744209999998</v>
      </c>
      <c r="U38">
        <v>2.6766689800000001</v>
      </c>
      <c r="V38">
        <v>-4.0098700000000001E-2</v>
      </c>
      <c r="W38">
        <v>-4.0087651000000002E-2</v>
      </c>
      <c r="X38">
        <v>-4.0048538000000002E-2</v>
      </c>
      <c r="Y38">
        <v>-4.0050743E-2</v>
      </c>
      <c r="Z38">
        <v>0</v>
      </c>
      <c r="AA38">
        <v>133</v>
      </c>
      <c r="AB38">
        <v>13</v>
      </c>
      <c r="AC38">
        <v>6</v>
      </c>
      <c r="AD38">
        <v>45</v>
      </c>
      <c r="AE38">
        <v>53</v>
      </c>
      <c r="AF38">
        <v>0</v>
      </c>
      <c r="AG38">
        <v>5.32</v>
      </c>
      <c r="AH38">
        <v>0.22308</v>
      </c>
      <c r="AI38">
        <v>9.6000000000000002E-2</v>
      </c>
      <c r="AJ38">
        <v>3.9419999999999997E-2</v>
      </c>
      <c r="AK38">
        <v>5.6784999999999997</v>
      </c>
    </row>
    <row r="39" spans="1:37">
      <c r="A39" t="s">
        <v>20</v>
      </c>
      <c r="B39">
        <v>72.119619290000003</v>
      </c>
      <c r="C39">
        <v>3.0147231109999999</v>
      </c>
      <c r="D39">
        <v>2.6865637229999999</v>
      </c>
      <c r="E39">
        <v>7.908422E-3</v>
      </c>
      <c r="F39">
        <v>2.646492158</v>
      </c>
      <c r="G39">
        <v>7.8993499999999994E-3</v>
      </c>
      <c r="H39">
        <v>-4.0071565000000003E-2</v>
      </c>
      <c r="I39" s="5" t="s">
        <v>64</v>
      </c>
      <c r="J39">
        <v>73.460761700000006</v>
      </c>
      <c r="K39">
        <v>74.928470840000003</v>
      </c>
      <c r="L39">
        <v>73.049176079999995</v>
      </c>
      <c r="M39">
        <v>67.040068529999999</v>
      </c>
      <c r="N39">
        <v>2.6985246219999999</v>
      </c>
      <c r="O39">
        <v>2.6829425659999999</v>
      </c>
      <c r="P39">
        <v>2.6878354039999999</v>
      </c>
      <c r="Q39">
        <v>2.6769522979999998</v>
      </c>
      <c r="R39">
        <v>2.6584581680000001</v>
      </c>
      <c r="S39">
        <v>2.6428510470000002</v>
      </c>
      <c r="T39">
        <v>2.6477382129999998</v>
      </c>
      <c r="U39">
        <v>2.6369212040000001</v>
      </c>
      <c r="V39">
        <v>-4.0066454000000001E-2</v>
      </c>
      <c r="W39">
        <v>-4.0091518999999999E-2</v>
      </c>
      <c r="X39">
        <v>-4.0097190999999997E-2</v>
      </c>
      <c r="Y39">
        <v>-4.0031094000000003E-2</v>
      </c>
      <c r="Z39">
        <v>0</v>
      </c>
      <c r="AA39">
        <v>72</v>
      </c>
      <c r="AB39">
        <v>26</v>
      </c>
      <c r="AC39">
        <v>27</v>
      </c>
      <c r="AD39">
        <v>124</v>
      </c>
      <c r="AE39">
        <v>1</v>
      </c>
      <c r="AF39">
        <v>0</v>
      </c>
      <c r="AG39">
        <v>2.88</v>
      </c>
      <c r="AH39">
        <v>0.44616</v>
      </c>
      <c r="AI39">
        <v>0.432</v>
      </c>
      <c r="AJ39">
        <v>0.108624</v>
      </c>
      <c r="AK39">
        <v>3.866784</v>
      </c>
    </row>
    <row r="40" spans="1:37">
      <c r="A40" t="s">
        <v>20</v>
      </c>
      <c r="B40">
        <v>46.444168679999997</v>
      </c>
      <c r="C40">
        <v>3.855946512</v>
      </c>
      <c r="D40">
        <v>2.1102247030000001</v>
      </c>
      <c r="E40">
        <v>1.9278073E-2</v>
      </c>
      <c r="F40">
        <v>2.121601246</v>
      </c>
      <c r="G40">
        <v>1.8763276999999998E-2</v>
      </c>
      <c r="H40">
        <v>1.1376542999999999E-2</v>
      </c>
      <c r="I40">
        <v>6.9812100000000001E-4</v>
      </c>
      <c r="J40">
        <v>49.42447971</v>
      </c>
      <c r="K40">
        <v>45.481298180000003</v>
      </c>
      <c r="L40">
        <v>50.315452899999997</v>
      </c>
      <c r="M40">
        <v>40.555443940000004</v>
      </c>
      <c r="N40">
        <v>2.1432856290000002</v>
      </c>
      <c r="O40">
        <v>2.1018614389999999</v>
      </c>
      <c r="P40">
        <v>2.094824628</v>
      </c>
      <c r="Q40">
        <v>2.100927118</v>
      </c>
      <c r="R40">
        <v>2.1537968479999998</v>
      </c>
      <c r="S40">
        <v>2.1139330890000001</v>
      </c>
      <c r="T40">
        <v>2.1068791710000001</v>
      </c>
      <c r="U40">
        <v>2.111795876</v>
      </c>
      <c r="V40">
        <v>1.0511219E-2</v>
      </c>
      <c r="W40">
        <v>1.207165E-2</v>
      </c>
      <c r="X40">
        <v>1.2054542999999999E-2</v>
      </c>
      <c r="Y40">
        <v>1.0868757999999999E-2</v>
      </c>
      <c r="Z40">
        <v>58</v>
      </c>
      <c r="AA40">
        <v>28</v>
      </c>
      <c r="AB40">
        <v>11</v>
      </c>
      <c r="AC40">
        <v>88</v>
      </c>
      <c r="AD40">
        <v>34</v>
      </c>
      <c r="AE40">
        <v>31</v>
      </c>
      <c r="AF40">
        <v>3.48</v>
      </c>
      <c r="AG40">
        <v>1.1200000000000001</v>
      </c>
      <c r="AH40">
        <v>0.18876000000000001</v>
      </c>
      <c r="AI40">
        <v>1.4079999999999999</v>
      </c>
      <c r="AJ40">
        <v>2.9784000000000001E-2</v>
      </c>
      <c r="AK40">
        <v>6.2265439999999996</v>
      </c>
    </row>
    <row r="41" spans="1:37">
      <c r="A41" t="s">
        <v>20</v>
      </c>
      <c r="B41">
        <v>33.381972640000001</v>
      </c>
      <c r="C41">
        <v>2.4565332550000001</v>
      </c>
      <c r="D41">
        <v>2.0894280479999998</v>
      </c>
      <c r="E41">
        <v>3.4445943999999999E-2</v>
      </c>
      <c r="F41">
        <v>2.1002763899999999</v>
      </c>
      <c r="G41">
        <v>3.4438120000000003E-2</v>
      </c>
      <c r="H41">
        <v>1.0848340999999999E-2</v>
      </c>
      <c r="I41" s="5" t="s">
        <v>65</v>
      </c>
      <c r="J41">
        <v>35.794268099999996</v>
      </c>
      <c r="K41">
        <v>27.39264425</v>
      </c>
      <c r="L41">
        <v>34.340878359999998</v>
      </c>
      <c r="M41">
        <v>30.010771470000002</v>
      </c>
      <c r="N41">
        <v>2.1381415420000001</v>
      </c>
      <c r="O41">
        <v>2.0693158870000001</v>
      </c>
      <c r="P41">
        <v>2.0652479640000001</v>
      </c>
      <c r="Q41">
        <v>2.0648946389999998</v>
      </c>
      <c r="R41">
        <v>2.1489788139999999</v>
      </c>
      <c r="S41">
        <v>2.079801131</v>
      </c>
      <c r="T41">
        <v>2.0761028019999999</v>
      </c>
      <c r="U41">
        <v>2.0757475529999998</v>
      </c>
      <c r="V41">
        <v>1.0837272E-2</v>
      </c>
      <c r="W41">
        <v>1.0485243999999999E-2</v>
      </c>
      <c r="X41">
        <v>1.0854838E-2</v>
      </c>
      <c r="Y41">
        <v>1.0852914E-2</v>
      </c>
      <c r="Z41">
        <v>107</v>
      </c>
      <c r="AA41">
        <v>0</v>
      </c>
      <c r="AB41">
        <v>44</v>
      </c>
      <c r="AC41">
        <v>47</v>
      </c>
      <c r="AD41">
        <v>10</v>
      </c>
      <c r="AE41">
        <v>42</v>
      </c>
      <c r="AF41">
        <v>6.42</v>
      </c>
      <c r="AG41">
        <v>0</v>
      </c>
      <c r="AH41">
        <v>0.75504000000000004</v>
      </c>
      <c r="AI41">
        <v>0.752</v>
      </c>
      <c r="AJ41">
        <v>8.7600000000000004E-3</v>
      </c>
      <c r="AK41">
        <v>7.9358000000000004</v>
      </c>
    </row>
    <row r="42" spans="1:37">
      <c r="A42" t="s">
        <v>20</v>
      </c>
      <c r="B42">
        <v>51.624032730000003</v>
      </c>
      <c r="C42">
        <v>0.52551426000000001</v>
      </c>
      <c r="D42">
        <v>2.1268821</v>
      </c>
      <c r="E42">
        <v>1.2015883E-2</v>
      </c>
      <c r="F42">
        <v>2.1383438890000002</v>
      </c>
      <c r="G42">
        <v>1.2375341999999999E-2</v>
      </c>
      <c r="H42">
        <v>1.1461789999999999E-2</v>
      </c>
      <c r="I42">
        <v>6.2578899999999997E-4</v>
      </c>
      <c r="J42">
        <v>52.518197819999997</v>
      </c>
      <c r="K42">
        <v>51.317107620000002</v>
      </c>
      <c r="L42">
        <v>51.191665989999997</v>
      </c>
      <c r="M42">
        <v>51.469159490000003</v>
      </c>
      <c r="N42">
        <v>2.1476811470000001</v>
      </c>
      <c r="O42">
        <v>2.1194552290000002</v>
      </c>
      <c r="P42">
        <v>2.1206199360000002</v>
      </c>
      <c r="Q42">
        <v>2.1197720869999999</v>
      </c>
      <c r="R42">
        <v>2.159755063</v>
      </c>
      <c r="S42">
        <v>2.1302909250000002</v>
      </c>
      <c r="T42">
        <v>2.1314563899999999</v>
      </c>
      <c r="U42">
        <v>2.1318731799999999</v>
      </c>
      <c r="V42">
        <v>1.2073916000000001E-2</v>
      </c>
      <c r="W42">
        <v>1.0835696000000001E-2</v>
      </c>
      <c r="X42">
        <v>1.0836454000000001E-2</v>
      </c>
      <c r="Y42">
        <v>1.2101093E-2</v>
      </c>
      <c r="Z42">
        <v>59</v>
      </c>
      <c r="AA42">
        <v>9</v>
      </c>
      <c r="AB42">
        <v>22</v>
      </c>
      <c r="AC42">
        <v>22</v>
      </c>
      <c r="AD42">
        <v>48</v>
      </c>
      <c r="AE42">
        <v>90</v>
      </c>
      <c r="AF42">
        <v>3.54</v>
      </c>
      <c r="AG42">
        <v>0.36</v>
      </c>
      <c r="AH42">
        <v>0.37752000000000002</v>
      </c>
      <c r="AI42">
        <v>0.35199999999999998</v>
      </c>
      <c r="AJ42">
        <v>4.2048000000000002E-2</v>
      </c>
      <c r="AK42">
        <v>4.6715679999999997</v>
      </c>
    </row>
    <row r="43" spans="1:37">
      <c r="A43" t="s">
        <v>20</v>
      </c>
      <c r="B43">
        <v>41.518867870000001</v>
      </c>
      <c r="C43">
        <v>1.962673882</v>
      </c>
      <c r="D43">
        <v>2.1910193979999999</v>
      </c>
      <c r="E43">
        <v>4.8002920000000003E-3</v>
      </c>
      <c r="F43">
        <v>2.2016353839999998</v>
      </c>
      <c r="G43">
        <v>4.6325890000000003E-3</v>
      </c>
      <c r="H43">
        <v>1.0615986000000001E-2</v>
      </c>
      <c r="I43">
        <v>4.2610599999999999E-4</v>
      </c>
      <c r="J43">
        <v>39.220534600000001</v>
      </c>
      <c r="K43">
        <v>40.038180850000003</v>
      </c>
      <c r="L43">
        <v>42.778660610000003</v>
      </c>
      <c r="M43">
        <v>44.038095419999998</v>
      </c>
      <c r="N43">
        <v>2.193852852</v>
      </c>
      <c r="O43">
        <v>2.1948233880000001</v>
      </c>
      <c r="P43">
        <v>2.1828198680000002</v>
      </c>
      <c r="Q43">
        <v>2.1925814849999998</v>
      </c>
      <c r="R43">
        <v>2.2047048029999998</v>
      </c>
      <c r="S43">
        <v>2.2047021990000002</v>
      </c>
      <c r="T43">
        <v>2.193658594</v>
      </c>
      <c r="U43">
        <v>2.2034759410000002</v>
      </c>
      <c r="V43">
        <v>1.0851951E-2</v>
      </c>
      <c r="W43">
        <v>9.8788109999999995E-3</v>
      </c>
      <c r="X43">
        <v>1.0838726E-2</v>
      </c>
      <c r="Y43">
        <v>1.0894456E-2</v>
      </c>
      <c r="Z43">
        <v>95</v>
      </c>
      <c r="AA43">
        <v>80</v>
      </c>
      <c r="AB43">
        <v>7</v>
      </c>
      <c r="AC43">
        <v>7</v>
      </c>
      <c r="AD43">
        <v>50</v>
      </c>
      <c r="AE43">
        <v>11</v>
      </c>
      <c r="AF43">
        <v>5.7</v>
      </c>
      <c r="AG43">
        <v>3.2</v>
      </c>
      <c r="AH43">
        <v>0.12012</v>
      </c>
      <c r="AI43">
        <v>0.112</v>
      </c>
      <c r="AJ43">
        <v>4.3799999999999999E-2</v>
      </c>
      <c r="AK43">
        <v>9.1759199999999996</v>
      </c>
    </row>
    <row r="44" spans="1:37">
      <c r="A44" t="s">
        <v>20</v>
      </c>
      <c r="B44">
        <v>44.176388039999999</v>
      </c>
      <c r="C44">
        <v>1.3831508749999999</v>
      </c>
      <c r="D44">
        <v>2.083020592</v>
      </c>
      <c r="E44">
        <v>6.8370849999999997E-3</v>
      </c>
      <c r="F44">
        <v>2.0936773519999998</v>
      </c>
      <c r="G44">
        <v>7.3496280000000004E-3</v>
      </c>
      <c r="H44">
        <v>1.0656759999999999E-2</v>
      </c>
      <c r="I44">
        <v>8.8153799999999996E-4</v>
      </c>
      <c r="J44">
        <v>43.081446870000001</v>
      </c>
      <c r="K44">
        <v>44.91040589</v>
      </c>
      <c r="L44">
        <v>46.067056430000001</v>
      </c>
      <c r="M44">
        <v>42.64664295</v>
      </c>
      <c r="N44">
        <v>2.0712070279999999</v>
      </c>
      <c r="O44">
        <v>2.0875329890000001</v>
      </c>
      <c r="P44">
        <v>2.0871224910000001</v>
      </c>
      <c r="Q44">
        <v>2.0862198580000002</v>
      </c>
      <c r="R44">
        <v>2.0810728620000001</v>
      </c>
      <c r="S44">
        <v>2.0995594479999999</v>
      </c>
      <c r="T44">
        <v>2.09702119</v>
      </c>
      <c r="U44">
        <v>2.0970559070000001</v>
      </c>
      <c r="V44">
        <v>9.8658340000000004E-3</v>
      </c>
      <c r="W44">
        <v>1.2026459E-2</v>
      </c>
      <c r="X44">
        <v>9.8986990000000004E-3</v>
      </c>
      <c r="Y44">
        <v>1.0836049E-2</v>
      </c>
      <c r="Z44">
        <v>111</v>
      </c>
      <c r="AA44">
        <v>6</v>
      </c>
      <c r="AB44">
        <v>21</v>
      </c>
      <c r="AC44">
        <v>11</v>
      </c>
      <c r="AD44">
        <v>61</v>
      </c>
      <c r="AE44">
        <v>40</v>
      </c>
      <c r="AF44">
        <v>6.66</v>
      </c>
      <c r="AG44">
        <v>0.24</v>
      </c>
      <c r="AH44">
        <v>0.36036000000000001</v>
      </c>
      <c r="AI44">
        <v>0.17599999999999999</v>
      </c>
      <c r="AJ44">
        <v>5.3435999999999997E-2</v>
      </c>
      <c r="AK44">
        <v>7.4897960000000001</v>
      </c>
    </row>
    <row r="45" spans="1:37">
      <c r="A45" t="s">
        <v>20</v>
      </c>
      <c r="B45">
        <v>75.22339169</v>
      </c>
      <c r="C45">
        <v>3.5191053960000001</v>
      </c>
      <c r="D45">
        <v>2.1316207490000001</v>
      </c>
      <c r="E45">
        <v>4.189262E-3</v>
      </c>
      <c r="F45">
        <v>2.1054147250000002</v>
      </c>
      <c r="G45">
        <v>3.5104609999999999E-3</v>
      </c>
      <c r="H45">
        <v>-2.6206024000000001E-2</v>
      </c>
      <c r="I45">
        <v>1.347467E-3</v>
      </c>
      <c r="J45">
        <v>72.283244850000003</v>
      </c>
      <c r="K45">
        <v>71.391851520000003</v>
      </c>
      <c r="L45">
        <v>77.32795161</v>
      </c>
      <c r="M45">
        <v>79.89051877</v>
      </c>
      <c r="N45">
        <v>2.1365320620000001</v>
      </c>
      <c r="O45">
        <v>2.1254188850000002</v>
      </c>
      <c r="P45">
        <v>2.1304244520000002</v>
      </c>
      <c r="Q45">
        <v>2.1341075969999999</v>
      </c>
      <c r="R45">
        <v>2.1106003640000002</v>
      </c>
      <c r="S45">
        <v>2.1007756889999998</v>
      </c>
      <c r="T45">
        <v>2.1045362619999999</v>
      </c>
      <c r="U45">
        <v>2.105746586</v>
      </c>
      <c r="V45">
        <v>-2.5931698E-2</v>
      </c>
      <c r="W45">
        <v>-2.4643195999999999E-2</v>
      </c>
      <c r="X45">
        <v>-2.5888189999999998E-2</v>
      </c>
      <c r="Y45">
        <v>-2.8361010999999998E-2</v>
      </c>
      <c r="Z45">
        <v>49</v>
      </c>
      <c r="AA45">
        <v>66</v>
      </c>
      <c r="AB45">
        <v>0</v>
      </c>
      <c r="AC45">
        <v>15</v>
      </c>
      <c r="AD45">
        <v>0</v>
      </c>
      <c r="AE45">
        <v>120</v>
      </c>
      <c r="AF45">
        <v>2.94</v>
      </c>
      <c r="AG45">
        <v>2.64</v>
      </c>
      <c r="AH45">
        <v>0</v>
      </c>
      <c r="AI45">
        <v>0.24</v>
      </c>
      <c r="AJ45">
        <v>0</v>
      </c>
      <c r="AK45">
        <v>5.82</v>
      </c>
    </row>
    <row r="46" spans="1:37">
      <c r="A46" t="s">
        <v>20</v>
      </c>
      <c r="B46">
        <v>60.930954509999999</v>
      </c>
      <c r="C46">
        <v>1.6379867560000001</v>
      </c>
      <c r="D46">
        <v>2.2145761849999999</v>
      </c>
      <c r="E46">
        <v>5.0853210000000003E-3</v>
      </c>
      <c r="F46">
        <v>2.1260089010000001</v>
      </c>
      <c r="G46">
        <v>5.375899E-3</v>
      </c>
      <c r="H46">
        <v>-8.8567283999999996E-2</v>
      </c>
      <c r="I46">
        <v>1.1079079999999999E-3</v>
      </c>
      <c r="J46">
        <v>61.438708030000001</v>
      </c>
      <c r="K46">
        <v>63.354362369999997</v>
      </c>
      <c r="L46">
        <v>59.074586369999999</v>
      </c>
      <c r="M46">
        <v>59.856161280000002</v>
      </c>
      <c r="N46">
        <v>2.2059560390000001</v>
      </c>
      <c r="O46">
        <v>2.2157443429999999</v>
      </c>
      <c r="P46">
        <v>2.2183490610000001</v>
      </c>
      <c r="Q46">
        <v>2.2182552979999999</v>
      </c>
      <c r="R46">
        <v>2.116697625</v>
      </c>
      <c r="S46">
        <v>2.1290949609999998</v>
      </c>
      <c r="T46">
        <v>2.1291424380000001</v>
      </c>
      <c r="U46">
        <v>2.1291005809999999</v>
      </c>
      <c r="V46">
        <v>-8.9258413999999994E-2</v>
      </c>
      <c r="W46">
        <v>-8.6649381999999997E-2</v>
      </c>
      <c r="X46">
        <v>-8.9206622999999999E-2</v>
      </c>
      <c r="Y46">
        <v>-8.9154716999999994E-2</v>
      </c>
      <c r="Z46">
        <v>20</v>
      </c>
      <c r="AA46">
        <v>24</v>
      </c>
      <c r="AB46">
        <v>9</v>
      </c>
      <c r="AC46">
        <v>16</v>
      </c>
      <c r="AD46">
        <v>113</v>
      </c>
      <c r="AE46">
        <v>68</v>
      </c>
      <c r="AF46">
        <v>1.2</v>
      </c>
      <c r="AG46">
        <v>0.96</v>
      </c>
      <c r="AH46">
        <v>0.15443999999999999</v>
      </c>
      <c r="AI46">
        <v>0.25600000000000001</v>
      </c>
      <c r="AJ46">
        <v>9.8988000000000007E-2</v>
      </c>
      <c r="AK46">
        <v>2.6694279999999999</v>
      </c>
    </row>
    <row r="47" spans="1:37">
      <c r="A47" t="s">
        <v>20</v>
      </c>
      <c r="B47">
        <v>54.876260969999997</v>
      </c>
      <c r="C47">
        <v>1.9153689739999999</v>
      </c>
      <c r="D47">
        <v>2.084179234</v>
      </c>
      <c r="E47">
        <v>0.156551515</v>
      </c>
      <c r="F47">
        <v>2.0945681010000001</v>
      </c>
      <c r="G47">
        <v>0.156293128</v>
      </c>
      <c r="H47">
        <v>1.0388867E-2</v>
      </c>
      <c r="I47">
        <v>4.7776200000000001E-4</v>
      </c>
      <c r="J47">
        <v>53.68579287</v>
      </c>
      <c r="K47">
        <v>57.463639639999997</v>
      </c>
      <c r="L47">
        <v>55.84920194</v>
      </c>
      <c r="M47">
        <v>52.506409410000003</v>
      </c>
      <c r="N47">
        <v>1.813470712</v>
      </c>
      <c r="O47">
        <v>2.1889267559999999</v>
      </c>
      <c r="P47">
        <v>2.1653112669999999</v>
      </c>
      <c r="Q47">
        <v>2.1690081989999999</v>
      </c>
      <c r="R47">
        <v>1.8243469560000001</v>
      </c>
      <c r="S47">
        <v>2.1997832389999998</v>
      </c>
      <c r="T47">
        <v>2.1752024099999998</v>
      </c>
      <c r="U47">
        <v>2.178939797</v>
      </c>
      <c r="V47">
        <v>1.0876244E-2</v>
      </c>
      <c r="W47">
        <v>1.0856483E-2</v>
      </c>
      <c r="X47">
        <v>9.8911429999999998E-3</v>
      </c>
      <c r="Y47">
        <v>9.9315979999999998E-3</v>
      </c>
      <c r="Z47">
        <v>37</v>
      </c>
      <c r="AA47">
        <v>117</v>
      </c>
      <c r="AB47">
        <v>59</v>
      </c>
      <c r="AC47">
        <v>25</v>
      </c>
      <c r="AD47">
        <v>0</v>
      </c>
      <c r="AE47">
        <v>12</v>
      </c>
      <c r="AF47">
        <v>2.2200000000000002</v>
      </c>
      <c r="AG47">
        <v>4.68</v>
      </c>
      <c r="AH47">
        <v>1.01244</v>
      </c>
      <c r="AI47">
        <v>0.4</v>
      </c>
      <c r="AJ47">
        <v>0</v>
      </c>
      <c r="AK47">
        <v>8.3124400000000005</v>
      </c>
    </row>
    <row r="48" spans="1:37">
      <c r="A48" t="s">
        <v>20</v>
      </c>
      <c r="B48">
        <v>77.287417509999997</v>
      </c>
      <c r="C48">
        <v>3.2950165299999998</v>
      </c>
      <c r="D48">
        <v>2.150917244</v>
      </c>
      <c r="E48">
        <v>4.553011E-3</v>
      </c>
      <c r="F48">
        <v>2.1192191039999999</v>
      </c>
      <c r="G48">
        <v>1.5154809999999999E-3</v>
      </c>
      <c r="H48">
        <v>-3.169814E-2</v>
      </c>
      <c r="I48">
        <v>4.1216580000000003E-3</v>
      </c>
      <c r="J48">
        <v>73.275155060000003</v>
      </c>
      <c r="K48">
        <v>76.916652209999995</v>
      </c>
      <c r="L48">
        <v>76.513518039999994</v>
      </c>
      <c r="M48">
        <v>82.444344740000005</v>
      </c>
      <c r="N48">
        <v>2.1549523879999999</v>
      </c>
      <c r="O48">
        <v>2.1549109080000002</v>
      </c>
      <c r="P48">
        <v>2.1499406840000002</v>
      </c>
      <c r="Q48">
        <v>2.1438649939999999</v>
      </c>
      <c r="R48">
        <v>2.1204550480000002</v>
      </c>
      <c r="S48">
        <v>2.120438338</v>
      </c>
      <c r="T48">
        <v>2.1167347940000001</v>
      </c>
      <c r="U48">
        <v>2.1192482359999998</v>
      </c>
      <c r="V48">
        <v>-3.4497340000000001E-2</v>
      </c>
      <c r="W48">
        <v>-3.4472570000000001E-2</v>
      </c>
      <c r="X48">
        <v>-3.3205890000000002E-2</v>
      </c>
      <c r="Y48">
        <v>-2.4616757999999999E-2</v>
      </c>
      <c r="Z48">
        <v>25</v>
      </c>
      <c r="AA48">
        <v>89</v>
      </c>
      <c r="AB48">
        <v>0</v>
      </c>
      <c r="AC48">
        <v>11</v>
      </c>
      <c r="AD48">
        <v>95</v>
      </c>
      <c r="AE48">
        <v>30</v>
      </c>
      <c r="AF48">
        <v>1.5</v>
      </c>
      <c r="AG48">
        <v>3.56</v>
      </c>
      <c r="AH48">
        <v>0</v>
      </c>
      <c r="AI48">
        <v>0.17599999999999999</v>
      </c>
      <c r="AJ48">
        <v>8.3220000000000002E-2</v>
      </c>
      <c r="AK48">
        <v>5.3192199999999996</v>
      </c>
    </row>
    <row r="49" spans="1:37">
      <c r="A49" t="s">
        <v>20</v>
      </c>
      <c r="B49">
        <v>78.364935439999996</v>
      </c>
      <c r="C49">
        <v>0.66195938200000004</v>
      </c>
      <c r="D49">
        <v>2.1635942250000002</v>
      </c>
      <c r="E49">
        <v>1.0101324E-2</v>
      </c>
      <c r="F49">
        <v>2.1328026809999998</v>
      </c>
      <c r="G49">
        <v>4.2717299999999996E-3</v>
      </c>
      <c r="H49">
        <v>-3.0791544000000001E-2</v>
      </c>
      <c r="I49">
        <v>5.9465610000000004E-3</v>
      </c>
      <c r="J49">
        <v>78.970023459999993</v>
      </c>
      <c r="K49">
        <v>77.828407150000004</v>
      </c>
      <c r="L49">
        <v>77.590244690000006</v>
      </c>
      <c r="M49">
        <v>79.071066459999997</v>
      </c>
      <c r="N49">
        <v>2.1463837049999999</v>
      </c>
      <c r="O49">
        <v>2.1684951080000001</v>
      </c>
      <c r="P49">
        <v>2.1722150880000002</v>
      </c>
      <c r="Q49">
        <v>2.1672829990000002</v>
      </c>
      <c r="R49">
        <v>2.125403844</v>
      </c>
      <c r="S49">
        <v>2.1352702890000002</v>
      </c>
      <c r="T49">
        <v>2.135281183</v>
      </c>
      <c r="U49">
        <v>2.135255409</v>
      </c>
      <c r="V49">
        <v>-2.0979860999999999E-2</v>
      </c>
      <c r="W49">
        <v>-3.3224819000000003E-2</v>
      </c>
      <c r="X49">
        <v>-3.6933905000000003E-2</v>
      </c>
      <c r="Y49">
        <v>-3.2027590000000002E-2</v>
      </c>
      <c r="Z49">
        <v>14</v>
      </c>
      <c r="AA49">
        <v>32</v>
      </c>
      <c r="AB49">
        <v>27</v>
      </c>
      <c r="AC49">
        <v>8</v>
      </c>
      <c r="AD49">
        <v>42</v>
      </c>
      <c r="AE49">
        <v>127</v>
      </c>
      <c r="AF49">
        <v>0.84</v>
      </c>
      <c r="AG49">
        <v>1.28</v>
      </c>
      <c r="AH49">
        <v>0.46332000000000001</v>
      </c>
      <c r="AI49">
        <v>0.128</v>
      </c>
      <c r="AJ49">
        <v>3.6791999999999998E-2</v>
      </c>
      <c r="AK49">
        <v>2.7481119999999999</v>
      </c>
    </row>
    <row r="50" spans="1:37">
      <c r="A50" t="s">
        <v>20</v>
      </c>
      <c r="B50">
        <v>84.937206369999998</v>
      </c>
      <c r="C50">
        <v>0.75981662999999999</v>
      </c>
      <c r="D50">
        <v>2.3040099729999999</v>
      </c>
      <c r="E50">
        <v>7.3135470000000001E-3</v>
      </c>
      <c r="F50">
        <v>2.2694284269999998</v>
      </c>
      <c r="G50">
        <v>3.7649879999999999E-3</v>
      </c>
      <c r="H50">
        <v>-3.4581546999999997E-2</v>
      </c>
      <c r="I50">
        <v>6.7514100000000002E-3</v>
      </c>
      <c r="J50">
        <v>86.169157220000002</v>
      </c>
      <c r="K50">
        <v>84.501145109999996</v>
      </c>
      <c r="L50">
        <v>84.916563049999993</v>
      </c>
      <c r="M50">
        <v>84.161960100000002</v>
      </c>
      <c r="N50">
        <v>2.3068667710000001</v>
      </c>
      <c r="O50">
        <v>2.302599464</v>
      </c>
      <c r="P50">
        <v>2.2932181850000002</v>
      </c>
      <c r="Q50">
        <v>2.313355472</v>
      </c>
      <c r="R50">
        <v>2.2745444240000001</v>
      </c>
      <c r="S50">
        <v>2.271205299</v>
      </c>
      <c r="T50">
        <v>2.2646377430000002</v>
      </c>
      <c r="U50">
        <v>2.26732624</v>
      </c>
      <c r="V50">
        <v>-3.2322347000000001E-2</v>
      </c>
      <c r="W50">
        <v>-3.1394165000000002E-2</v>
      </c>
      <c r="X50">
        <v>-2.8580442000000001E-2</v>
      </c>
      <c r="Y50">
        <v>-4.6029232000000003E-2</v>
      </c>
      <c r="Z50">
        <v>29</v>
      </c>
      <c r="AA50">
        <v>109</v>
      </c>
      <c r="AB50">
        <v>31</v>
      </c>
      <c r="AC50">
        <v>0</v>
      </c>
      <c r="AD50">
        <v>47</v>
      </c>
      <c r="AE50">
        <v>34</v>
      </c>
      <c r="AF50">
        <v>1.74</v>
      </c>
      <c r="AG50">
        <v>4.3600000000000003</v>
      </c>
      <c r="AH50">
        <v>0.53195999999999999</v>
      </c>
      <c r="AI50">
        <v>0</v>
      </c>
      <c r="AJ50">
        <v>4.1172E-2</v>
      </c>
      <c r="AK50">
        <v>6.6731319999999998</v>
      </c>
    </row>
    <row r="51" spans="1:37">
      <c r="A51" t="s">
        <v>20</v>
      </c>
      <c r="B51">
        <v>83.920682499999998</v>
      </c>
      <c r="C51">
        <v>0.88594854099999998</v>
      </c>
      <c r="D51">
        <v>2.3188899460000001</v>
      </c>
      <c r="E51">
        <v>6.9296330000000001E-3</v>
      </c>
      <c r="F51">
        <v>2.2726425880000001</v>
      </c>
      <c r="G51">
        <v>6.6718209999999997E-3</v>
      </c>
      <c r="H51">
        <v>-4.6247358000000002E-2</v>
      </c>
      <c r="I51">
        <v>4.35103E-4</v>
      </c>
      <c r="J51">
        <v>84.772318850000005</v>
      </c>
      <c r="K51">
        <v>82.559251509999996</v>
      </c>
      <c r="L51">
        <v>84.639743139999993</v>
      </c>
      <c r="M51">
        <v>83.711416510000006</v>
      </c>
      <c r="N51">
        <v>2.3284489530000001</v>
      </c>
      <c r="O51">
        <v>2.322538019</v>
      </c>
      <c r="P51">
        <v>2.3125886410000001</v>
      </c>
      <c r="Q51">
        <v>2.311984169</v>
      </c>
      <c r="R51">
        <v>2.2821873369999999</v>
      </c>
      <c r="S51">
        <v>2.2755885070000001</v>
      </c>
      <c r="T51">
        <v>2.2667603590000001</v>
      </c>
      <c r="U51">
        <v>2.2660341490000002</v>
      </c>
      <c r="V51">
        <v>-4.6261615999999998E-2</v>
      </c>
      <c r="W51">
        <v>-4.6949511999999999E-2</v>
      </c>
      <c r="X51">
        <v>-4.5828281999999998E-2</v>
      </c>
      <c r="Y51">
        <v>-4.5950020000000001E-2</v>
      </c>
      <c r="Z51">
        <v>33</v>
      </c>
      <c r="AA51">
        <v>140</v>
      </c>
      <c r="AB51">
        <v>5</v>
      </c>
      <c r="AC51">
        <v>8</v>
      </c>
      <c r="AD51">
        <v>9</v>
      </c>
      <c r="AE51">
        <v>55</v>
      </c>
      <c r="AF51">
        <v>1.98</v>
      </c>
      <c r="AG51">
        <v>5.6</v>
      </c>
      <c r="AH51">
        <v>8.5800000000000001E-2</v>
      </c>
      <c r="AI51">
        <v>0.128</v>
      </c>
      <c r="AJ51">
        <v>7.8840000000000004E-3</v>
      </c>
      <c r="AK51">
        <v>7.8016839999999998</v>
      </c>
    </row>
    <row r="52" spans="1:37">
      <c r="A52" t="s">
        <v>20</v>
      </c>
      <c r="B52">
        <v>75.941428900000005</v>
      </c>
      <c r="C52">
        <v>5.1099602749999997</v>
      </c>
      <c r="D52">
        <v>2.408414214</v>
      </c>
      <c r="E52">
        <v>7.8629653999999993E-2</v>
      </c>
      <c r="F52">
        <v>2.3675679610000002</v>
      </c>
      <c r="G52">
        <v>7.5188275999999998E-2</v>
      </c>
      <c r="H52">
        <v>-4.0846253999999999E-2</v>
      </c>
      <c r="I52">
        <v>4.9423399999999999E-3</v>
      </c>
      <c r="J52">
        <v>68.529883670000004</v>
      </c>
      <c r="K52">
        <v>73.855544390000006</v>
      </c>
      <c r="L52">
        <v>80.510876490000001</v>
      </c>
      <c r="M52">
        <v>80.869411029999995</v>
      </c>
      <c r="N52">
        <v>2.5415562880000002</v>
      </c>
      <c r="O52">
        <v>2.3904565600000001</v>
      </c>
      <c r="P52">
        <v>2.3556941560000002</v>
      </c>
      <c r="Q52">
        <v>2.345949853</v>
      </c>
      <c r="R52">
        <v>2.4959795300000001</v>
      </c>
      <c r="S52">
        <v>2.3444621579999998</v>
      </c>
      <c r="T52">
        <v>2.319660914</v>
      </c>
      <c r="U52">
        <v>2.31016924</v>
      </c>
      <c r="V52">
        <v>-4.5576758000000002E-2</v>
      </c>
      <c r="W52">
        <v>-4.5994401999999997E-2</v>
      </c>
      <c r="X52">
        <v>-3.6033242E-2</v>
      </c>
      <c r="Y52">
        <v>-3.5780613000000003E-2</v>
      </c>
      <c r="Z52">
        <v>7</v>
      </c>
      <c r="AA52">
        <v>114</v>
      </c>
      <c r="AB52">
        <v>45</v>
      </c>
      <c r="AC52">
        <v>65</v>
      </c>
      <c r="AD52">
        <v>14</v>
      </c>
      <c r="AE52">
        <v>5</v>
      </c>
      <c r="AF52">
        <v>0.42</v>
      </c>
      <c r="AG52">
        <v>4.5599999999999996</v>
      </c>
      <c r="AH52">
        <v>0.7722</v>
      </c>
      <c r="AI52">
        <v>1.04</v>
      </c>
      <c r="AJ52">
        <v>1.2264000000000001E-2</v>
      </c>
      <c r="AK52">
        <v>6.8044640000000003</v>
      </c>
    </row>
    <row r="53" spans="1:37">
      <c r="A53" t="s">
        <v>20</v>
      </c>
      <c r="B53">
        <v>77.68987482</v>
      </c>
      <c r="C53">
        <v>1.2910450389999999</v>
      </c>
      <c r="D53">
        <v>2.312992119</v>
      </c>
      <c r="E53">
        <v>4.6663090000000004E-3</v>
      </c>
      <c r="F53">
        <v>2.271174823</v>
      </c>
      <c r="G53">
        <v>3.530507E-3</v>
      </c>
      <c r="H53">
        <v>-4.1817295999999997E-2</v>
      </c>
      <c r="I53">
        <v>1.177729E-3</v>
      </c>
      <c r="J53">
        <v>75.675043709999997</v>
      </c>
      <c r="K53">
        <v>77.449182640000004</v>
      </c>
      <c r="L53">
        <v>78.872497260000003</v>
      </c>
      <c r="M53">
        <v>78.762775660000003</v>
      </c>
      <c r="N53">
        <v>2.3051375099999998</v>
      </c>
      <c r="O53">
        <v>2.31391422</v>
      </c>
      <c r="P53">
        <v>2.3169696360000001</v>
      </c>
      <c r="Q53">
        <v>2.3159471090000001</v>
      </c>
      <c r="R53">
        <v>2.2651889729999999</v>
      </c>
      <c r="S53">
        <v>2.2722345960000001</v>
      </c>
      <c r="T53">
        <v>2.2742588619999999</v>
      </c>
      <c r="U53">
        <v>2.2730168609999999</v>
      </c>
      <c r="V53">
        <v>-3.9948536999999999E-2</v>
      </c>
      <c r="W53">
        <v>-4.1679623999999998E-2</v>
      </c>
      <c r="X53">
        <v>-4.2710774E-2</v>
      </c>
      <c r="Y53">
        <v>-4.2930247999999997E-2</v>
      </c>
      <c r="Z53">
        <v>28</v>
      </c>
      <c r="AA53">
        <v>146</v>
      </c>
      <c r="AB53">
        <v>17</v>
      </c>
      <c r="AC53">
        <v>0</v>
      </c>
      <c r="AD53">
        <v>38</v>
      </c>
      <c r="AE53">
        <v>21</v>
      </c>
      <c r="AF53">
        <v>1.68</v>
      </c>
      <c r="AG53">
        <v>5.84</v>
      </c>
      <c r="AH53">
        <v>0.29171999999999998</v>
      </c>
      <c r="AI53">
        <v>0</v>
      </c>
      <c r="AJ53">
        <v>3.3287999999999998E-2</v>
      </c>
      <c r="AK53">
        <v>7.845008</v>
      </c>
    </row>
    <row r="54" spans="1:37">
      <c r="A54" t="s">
        <v>20</v>
      </c>
      <c r="B54">
        <v>58.016073059999997</v>
      </c>
      <c r="C54">
        <v>5.6079187859999999</v>
      </c>
      <c r="D54">
        <v>2.2596785709999998</v>
      </c>
      <c r="E54">
        <v>3.0088784E-2</v>
      </c>
      <c r="F54">
        <v>2.2005003159999998</v>
      </c>
      <c r="G54">
        <v>2.0926687999999999E-2</v>
      </c>
      <c r="H54">
        <v>-5.9178255999999999E-2</v>
      </c>
      <c r="I54">
        <v>9.1890080000000002E-3</v>
      </c>
      <c r="J54">
        <v>48.328651700000002</v>
      </c>
      <c r="K54">
        <v>61.595132569999997</v>
      </c>
      <c r="L54">
        <v>61.561767330000002</v>
      </c>
      <c r="M54">
        <v>60.578740619999998</v>
      </c>
      <c r="N54">
        <v>2.3116647299999999</v>
      </c>
      <c r="O54">
        <v>2.2418323309999999</v>
      </c>
      <c r="P54">
        <v>2.2455686510000001</v>
      </c>
      <c r="Q54">
        <v>2.2396485730000002</v>
      </c>
      <c r="R54">
        <v>2.2365883430000002</v>
      </c>
      <c r="S54">
        <v>2.1886212230000002</v>
      </c>
      <c r="T54">
        <v>2.1911535949999998</v>
      </c>
      <c r="U54">
        <v>2.185638102</v>
      </c>
      <c r="V54">
        <v>-7.5076386999999994E-2</v>
      </c>
      <c r="W54">
        <v>-5.3211108E-2</v>
      </c>
      <c r="X54">
        <v>-5.4415056000000003E-2</v>
      </c>
      <c r="Y54">
        <v>-5.4010470999999997E-2</v>
      </c>
      <c r="Z54">
        <v>56</v>
      </c>
      <c r="AA54">
        <v>6</v>
      </c>
      <c r="AB54">
        <v>5</v>
      </c>
      <c r="AC54">
        <v>47</v>
      </c>
      <c r="AD54">
        <v>69</v>
      </c>
      <c r="AE54">
        <v>67</v>
      </c>
      <c r="AF54">
        <v>3.36</v>
      </c>
      <c r="AG54">
        <v>0.24</v>
      </c>
      <c r="AH54">
        <v>8.5800000000000001E-2</v>
      </c>
      <c r="AI54">
        <v>0.752</v>
      </c>
      <c r="AJ54">
        <v>6.0443999999999998E-2</v>
      </c>
      <c r="AK54">
        <v>4.4982439999999997</v>
      </c>
    </row>
    <row r="55" spans="1:37">
      <c r="A55" t="s">
        <v>20</v>
      </c>
      <c r="B55">
        <v>53.864767229999998</v>
      </c>
      <c r="C55">
        <v>1.071345357</v>
      </c>
      <c r="D55">
        <v>2.3060684980000001</v>
      </c>
      <c r="E55">
        <v>4.2123239999999999E-3</v>
      </c>
      <c r="F55">
        <v>2.2628731960000001</v>
      </c>
      <c r="G55">
        <v>4.0210920000000004E-3</v>
      </c>
      <c r="H55">
        <v>-4.3195301999999998E-2</v>
      </c>
      <c r="I55">
        <v>7.9590800000000001E-4</v>
      </c>
      <c r="J55">
        <v>52.136917279999999</v>
      </c>
      <c r="K55">
        <v>53.811777020000001</v>
      </c>
      <c r="L55">
        <v>54.662574509999999</v>
      </c>
      <c r="M55">
        <v>54.847800100000001</v>
      </c>
      <c r="N55">
        <v>2.3044246820000001</v>
      </c>
      <c r="O55">
        <v>2.3029182449999999</v>
      </c>
      <c r="P55">
        <v>2.3133058279999998</v>
      </c>
      <c r="Q55">
        <v>2.3036252350000002</v>
      </c>
      <c r="R55">
        <v>2.2625290539999998</v>
      </c>
      <c r="S55">
        <v>2.259038565</v>
      </c>
      <c r="T55">
        <v>2.2694970520000002</v>
      </c>
      <c r="U55">
        <v>2.2604281130000001</v>
      </c>
      <c r="V55">
        <v>-4.1895627999999997E-2</v>
      </c>
      <c r="W55">
        <v>-4.3879679999999997E-2</v>
      </c>
      <c r="X55">
        <v>-4.3808776000000001E-2</v>
      </c>
      <c r="Y55">
        <v>-4.3197121999999998E-2</v>
      </c>
      <c r="Z55">
        <v>68</v>
      </c>
      <c r="AA55">
        <v>99</v>
      </c>
      <c r="AB55">
        <v>0</v>
      </c>
      <c r="AC55">
        <v>21</v>
      </c>
      <c r="AD55">
        <v>48</v>
      </c>
      <c r="AE55">
        <v>14</v>
      </c>
      <c r="AF55">
        <v>4.08</v>
      </c>
      <c r="AG55">
        <v>3.96</v>
      </c>
      <c r="AH55">
        <v>0</v>
      </c>
      <c r="AI55">
        <v>0.33600000000000002</v>
      </c>
      <c r="AJ55">
        <v>4.2048000000000002E-2</v>
      </c>
      <c r="AK55">
        <v>8.4180480000000006</v>
      </c>
    </row>
    <row r="56" spans="1:37">
      <c r="A56" t="s">
        <v>20</v>
      </c>
      <c r="B56">
        <v>79.559854830000006</v>
      </c>
      <c r="C56">
        <v>1.8058602640000001</v>
      </c>
      <c r="D56">
        <v>2.1557114830000002</v>
      </c>
      <c r="E56">
        <v>9.8035450000000003E-3</v>
      </c>
      <c r="F56">
        <v>2.1662910709999998</v>
      </c>
      <c r="G56">
        <v>9.8191530000000006E-3</v>
      </c>
      <c r="H56">
        <v>1.0579587999999999E-2</v>
      </c>
      <c r="I56">
        <v>4.2881899999999999E-4</v>
      </c>
      <c r="J56">
        <v>81.206912439999996</v>
      </c>
      <c r="K56">
        <v>79.630805699999996</v>
      </c>
      <c r="L56">
        <v>80.804527829999998</v>
      </c>
      <c r="M56">
        <v>76.597173359999999</v>
      </c>
      <c r="N56">
        <v>2.1398008399999999</v>
      </c>
      <c r="O56">
        <v>2.1554605389999999</v>
      </c>
      <c r="P56">
        <v>2.1643526259999999</v>
      </c>
      <c r="Q56">
        <v>2.1632319259999999</v>
      </c>
      <c r="R56">
        <v>2.150628711</v>
      </c>
      <c r="S56">
        <v>2.1652975630000002</v>
      </c>
      <c r="T56">
        <v>2.1751923780000002</v>
      </c>
      <c r="U56">
        <v>2.1740456309999998</v>
      </c>
      <c r="V56">
        <v>1.0827870999999999E-2</v>
      </c>
      <c r="W56">
        <v>9.8370239999999998E-3</v>
      </c>
      <c r="X56">
        <v>1.0839751999999999E-2</v>
      </c>
      <c r="Y56">
        <v>1.0813705E-2</v>
      </c>
      <c r="Z56">
        <v>23</v>
      </c>
      <c r="AA56">
        <v>9</v>
      </c>
      <c r="AB56">
        <v>123</v>
      </c>
      <c r="AC56">
        <v>7</v>
      </c>
      <c r="AD56">
        <v>20</v>
      </c>
      <c r="AE56">
        <v>68</v>
      </c>
      <c r="AF56">
        <v>1.38</v>
      </c>
      <c r="AG56">
        <v>0.36</v>
      </c>
      <c r="AH56">
        <v>2.1106799999999999</v>
      </c>
      <c r="AI56">
        <v>0.112</v>
      </c>
      <c r="AJ56">
        <v>1.7520000000000001E-2</v>
      </c>
      <c r="AK56">
        <v>3.9802</v>
      </c>
    </row>
    <row r="57" spans="1:37">
      <c r="A57" t="s">
        <v>20</v>
      </c>
      <c r="B57">
        <v>82.220148359999996</v>
      </c>
      <c r="C57">
        <v>7.2775320880000001</v>
      </c>
      <c r="D57">
        <v>2.1771412489999999</v>
      </c>
      <c r="E57">
        <v>1.6206750999999998E-2</v>
      </c>
      <c r="F57">
        <v>2.1407672839999998</v>
      </c>
      <c r="G57">
        <v>1.5853064E-2</v>
      </c>
      <c r="H57">
        <v>-3.6373965000000001E-2</v>
      </c>
      <c r="I57">
        <v>3.3107119999999999E-3</v>
      </c>
      <c r="J57">
        <v>71.741416490000006</v>
      </c>
      <c r="K57">
        <v>81.27353445</v>
      </c>
      <c r="L57">
        <v>92.168428090000006</v>
      </c>
      <c r="M57">
        <v>83.697214389999999</v>
      </c>
      <c r="N57">
        <v>2.1530325449999999</v>
      </c>
      <c r="O57">
        <v>2.1925239790000002</v>
      </c>
      <c r="P57">
        <v>2.1716374780000001</v>
      </c>
      <c r="Q57">
        <v>2.191370993</v>
      </c>
      <c r="R57">
        <v>2.1148750500000002</v>
      </c>
      <c r="S57">
        <v>2.1530794420000001</v>
      </c>
      <c r="T57">
        <v>2.140809274</v>
      </c>
      <c r="U57">
        <v>2.154305371</v>
      </c>
      <c r="V57">
        <v>-3.8157495E-2</v>
      </c>
      <c r="W57">
        <v>-3.9444537000000002E-2</v>
      </c>
      <c r="X57">
        <v>-3.0828204000000001E-2</v>
      </c>
      <c r="Y57">
        <v>-3.7065621999999999E-2</v>
      </c>
      <c r="Z57">
        <v>11</v>
      </c>
      <c r="AA57">
        <v>75</v>
      </c>
      <c r="AB57">
        <v>27</v>
      </c>
      <c r="AC57">
        <v>15</v>
      </c>
      <c r="AD57">
        <v>58</v>
      </c>
      <c r="AE57">
        <v>64</v>
      </c>
      <c r="AF57">
        <v>0.66</v>
      </c>
      <c r="AG57">
        <v>3</v>
      </c>
      <c r="AH57">
        <v>0.46332000000000001</v>
      </c>
      <c r="AI57">
        <v>0.24</v>
      </c>
      <c r="AJ57">
        <v>5.0807999999999999E-2</v>
      </c>
      <c r="AK57">
        <v>4.4141279999999998</v>
      </c>
    </row>
    <row r="58" spans="1:37">
      <c r="A58" t="s">
        <v>20</v>
      </c>
      <c r="B58">
        <v>61.992412199999997</v>
      </c>
      <c r="C58">
        <v>2.9782596030000001</v>
      </c>
      <c r="D58">
        <v>2.1053849840000001</v>
      </c>
      <c r="E58">
        <v>8.0855340000000001E-3</v>
      </c>
      <c r="F58">
        <v>2.116722824</v>
      </c>
      <c r="G58">
        <v>8.0287550000000003E-3</v>
      </c>
      <c r="H58">
        <v>1.133784E-2</v>
      </c>
      <c r="I58">
        <v>1.0193050000000001E-3</v>
      </c>
      <c r="J58">
        <v>42.129974249999997</v>
      </c>
      <c r="K58">
        <v>57.78954804</v>
      </c>
      <c r="L58">
        <v>64.332580609999994</v>
      </c>
      <c r="M58">
        <v>63.855107949999997</v>
      </c>
      <c r="N58">
        <v>2.1191977890000002</v>
      </c>
      <c r="O58">
        <v>2.114511485</v>
      </c>
      <c r="P58">
        <v>2.1067878059999998</v>
      </c>
      <c r="Q58">
        <v>2.094855661</v>
      </c>
      <c r="R58">
        <v>2.1302974649999999</v>
      </c>
      <c r="S58">
        <v>2.1265752839999998</v>
      </c>
      <c r="T58">
        <v>2.1166841440000002</v>
      </c>
      <c r="U58">
        <v>2.1069090450000001</v>
      </c>
      <c r="V58">
        <v>1.1099675999999999E-2</v>
      </c>
      <c r="W58">
        <v>1.2063799E-2</v>
      </c>
      <c r="X58">
        <v>9.8963379999999993E-3</v>
      </c>
      <c r="Y58">
        <v>1.2053384E-2</v>
      </c>
      <c r="Z58">
        <v>53</v>
      </c>
      <c r="AA58">
        <v>5</v>
      </c>
      <c r="AB58">
        <v>123</v>
      </c>
      <c r="AC58">
        <v>13</v>
      </c>
      <c r="AD58">
        <v>8</v>
      </c>
      <c r="AE58">
        <v>48</v>
      </c>
      <c r="AF58">
        <v>3.18</v>
      </c>
      <c r="AG58">
        <v>0.2</v>
      </c>
      <c r="AH58">
        <v>2.1106799999999999</v>
      </c>
      <c r="AI58">
        <v>0.20799999999999999</v>
      </c>
      <c r="AJ58">
        <v>7.0080000000000003E-3</v>
      </c>
      <c r="AK58">
        <v>5.7056880000000003</v>
      </c>
    </row>
    <row r="59" spans="1:37">
      <c r="A59" t="s">
        <v>20</v>
      </c>
      <c r="B59">
        <v>68.268189430000007</v>
      </c>
      <c r="C59">
        <v>0.96760363000000005</v>
      </c>
      <c r="D59">
        <v>2.1822838739999999</v>
      </c>
      <c r="E59">
        <v>4.171709E-3</v>
      </c>
      <c r="F59">
        <v>2.1506244250000002</v>
      </c>
      <c r="G59">
        <v>4.3397100000000001E-3</v>
      </c>
      <c r="H59">
        <v>-3.1659448E-2</v>
      </c>
      <c r="I59">
        <v>5.7098900000000005E-4</v>
      </c>
      <c r="J59">
        <v>51.591210920000002</v>
      </c>
      <c r="K59">
        <v>67.275793829999998</v>
      </c>
      <c r="L59">
        <v>67.94845316</v>
      </c>
      <c r="M59">
        <v>69.580321299999994</v>
      </c>
      <c r="N59">
        <v>2.1863702589999998</v>
      </c>
      <c r="O59">
        <v>2.1863645420000002</v>
      </c>
      <c r="P59">
        <v>2.1839335050000002</v>
      </c>
      <c r="Q59">
        <v>2.1765535740000002</v>
      </c>
      <c r="R59">
        <v>2.1481862039999999</v>
      </c>
      <c r="S59">
        <v>2.1542672020000002</v>
      </c>
      <c r="T59">
        <v>2.1530805659999999</v>
      </c>
      <c r="U59">
        <v>2.1445255080000001</v>
      </c>
      <c r="V59">
        <v>-3.8184055000000001E-2</v>
      </c>
      <c r="W59">
        <v>-3.2097340000000002E-2</v>
      </c>
      <c r="X59">
        <v>-3.0852938999999999E-2</v>
      </c>
      <c r="Y59">
        <v>-3.2028066000000001E-2</v>
      </c>
      <c r="Z59">
        <v>12</v>
      </c>
      <c r="AA59">
        <v>24</v>
      </c>
      <c r="AB59">
        <v>64</v>
      </c>
      <c r="AC59">
        <v>8</v>
      </c>
      <c r="AD59">
        <v>141</v>
      </c>
      <c r="AE59">
        <v>1</v>
      </c>
      <c r="AF59">
        <v>0.72</v>
      </c>
      <c r="AG59">
        <v>0.96</v>
      </c>
      <c r="AH59">
        <v>1.0982400000000001</v>
      </c>
      <c r="AI59">
        <v>0.128</v>
      </c>
      <c r="AJ59">
        <v>0.123516</v>
      </c>
      <c r="AK59">
        <v>3.0297559999999999</v>
      </c>
    </row>
    <row r="60" spans="1:37">
      <c r="A60" t="s">
        <v>20</v>
      </c>
      <c r="B60">
        <v>58.553874399999998</v>
      </c>
      <c r="C60">
        <v>0.31010945499999998</v>
      </c>
      <c r="D60">
        <v>2.170178548</v>
      </c>
      <c r="E60">
        <v>3.5772960000000002E-3</v>
      </c>
      <c r="F60">
        <v>2.131144565</v>
      </c>
      <c r="G60">
        <v>3.5720420000000001E-3</v>
      </c>
      <c r="H60">
        <v>-3.9033983000000001E-2</v>
      </c>
      <c r="I60">
        <v>6.1620100000000003E-4</v>
      </c>
      <c r="J60">
        <v>37.219821090000003</v>
      </c>
      <c r="K60">
        <v>58.202809590000001</v>
      </c>
      <c r="L60">
        <v>58.957040139999997</v>
      </c>
      <c r="M60">
        <v>58.501773460000003</v>
      </c>
      <c r="N60">
        <v>2.1746538559999999</v>
      </c>
      <c r="O60">
        <v>2.1696935580000001</v>
      </c>
      <c r="P60">
        <v>2.166059948</v>
      </c>
      <c r="Q60">
        <v>2.1747821389999999</v>
      </c>
      <c r="R60">
        <v>2.1352291960000001</v>
      </c>
      <c r="S60">
        <v>2.1315310140000001</v>
      </c>
      <c r="T60">
        <v>2.126589321</v>
      </c>
      <c r="U60">
        <v>2.13531336</v>
      </c>
      <c r="V60">
        <v>-3.942466E-2</v>
      </c>
      <c r="W60">
        <v>-3.8162544E-2</v>
      </c>
      <c r="X60">
        <v>-3.9470627000000001E-2</v>
      </c>
      <c r="Y60">
        <v>-3.9468779000000002E-2</v>
      </c>
      <c r="Z60">
        <v>25</v>
      </c>
      <c r="AA60">
        <v>28</v>
      </c>
      <c r="AB60">
        <v>57</v>
      </c>
      <c r="AC60">
        <v>31</v>
      </c>
      <c r="AD60">
        <v>108</v>
      </c>
      <c r="AE60">
        <v>1</v>
      </c>
      <c r="AF60">
        <v>1.5</v>
      </c>
      <c r="AG60">
        <v>1.1200000000000001</v>
      </c>
      <c r="AH60">
        <v>0.97811999999999999</v>
      </c>
      <c r="AI60">
        <v>0.496</v>
      </c>
      <c r="AJ60">
        <v>9.4607999999999998E-2</v>
      </c>
      <c r="AK60">
        <v>4.1887280000000002</v>
      </c>
    </row>
    <row r="61" spans="1:37">
      <c r="A61" t="s">
        <v>20</v>
      </c>
      <c r="B61">
        <v>32.395970929999997</v>
      </c>
      <c r="C61">
        <v>2.2891396020000001</v>
      </c>
      <c r="D61">
        <v>2.6209156450000002</v>
      </c>
      <c r="E61">
        <v>3.4227507999999997E-2</v>
      </c>
      <c r="F61">
        <v>2.631604147</v>
      </c>
      <c r="G61">
        <v>3.4234557999999998E-2</v>
      </c>
      <c r="H61">
        <v>1.0688502000000001E-2</v>
      </c>
      <c r="I61">
        <v>8.8369900000000005E-4</v>
      </c>
      <c r="J61">
        <v>29.136053889999999</v>
      </c>
      <c r="K61">
        <v>34.984620499999998</v>
      </c>
      <c r="L61">
        <v>31.426389220000001</v>
      </c>
      <c r="M61">
        <v>34.036820120000002</v>
      </c>
      <c r="N61">
        <v>2.5960588919999998</v>
      </c>
      <c r="O61">
        <v>2.667391721</v>
      </c>
      <c r="P61">
        <v>2.6390413239999999</v>
      </c>
      <c r="Q61">
        <v>2.5811706430000001</v>
      </c>
      <c r="R61">
        <v>2.6060037880000002</v>
      </c>
      <c r="S61">
        <v>2.6772771999999998</v>
      </c>
      <c r="T61">
        <v>2.6511072389999999</v>
      </c>
      <c r="U61">
        <v>2.5920283589999999</v>
      </c>
      <c r="V61">
        <v>9.9448959999999999E-3</v>
      </c>
      <c r="W61">
        <v>9.8854790000000008E-3</v>
      </c>
      <c r="X61">
        <v>1.2065915E-2</v>
      </c>
      <c r="Y61">
        <v>1.0857716E-2</v>
      </c>
      <c r="Z61">
        <v>10</v>
      </c>
      <c r="AA61">
        <v>48</v>
      </c>
      <c r="AB61">
        <v>73</v>
      </c>
      <c r="AC61">
        <v>100</v>
      </c>
      <c r="AD61">
        <v>0</v>
      </c>
      <c r="AE61">
        <v>19</v>
      </c>
      <c r="AF61">
        <v>0.6</v>
      </c>
      <c r="AG61">
        <v>1.92</v>
      </c>
      <c r="AH61">
        <v>1.25268</v>
      </c>
      <c r="AI61">
        <v>1.6</v>
      </c>
      <c r="AJ61">
        <v>0</v>
      </c>
      <c r="AK61">
        <v>5.3726799999999999</v>
      </c>
    </row>
    <row r="62" spans="1:37">
      <c r="A62" t="s">
        <v>20</v>
      </c>
      <c r="B62">
        <v>21.442803609999999</v>
      </c>
      <c r="C62">
        <v>2.2520835639999999</v>
      </c>
      <c r="D62">
        <v>2.7500080539999998</v>
      </c>
      <c r="E62">
        <v>1.4102853E-2</v>
      </c>
      <c r="F62">
        <v>2.6156357450000001</v>
      </c>
      <c r="G62">
        <v>8.1749409999999998E-3</v>
      </c>
      <c r="H62">
        <v>-0.134372309</v>
      </c>
      <c r="I62">
        <v>7.0257419999999998E-3</v>
      </c>
      <c r="J62">
        <v>18.261075200000001</v>
      </c>
      <c r="K62">
        <v>38.231939930000003</v>
      </c>
      <c r="L62">
        <v>22.910080610000001</v>
      </c>
      <c r="M62">
        <v>23.157255030000002</v>
      </c>
      <c r="N62">
        <v>2.752568031</v>
      </c>
      <c r="O62">
        <v>2.7345399349999999</v>
      </c>
      <c r="P62">
        <v>2.731598542</v>
      </c>
      <c r="Q62">
        <v>2.7658575889999999</v>
      </c>
      <c r="R62">
        <v>2.6130639279999999</v>
      </c>
      <c r="S62">
        <v>2.613437652</v>
      </c>
      <c r="T62">
        <v>2.607160312</v>
      </c>
      <c r="U62">
        <v>2.626682996</v>
      </c>
      <c r="V62">
        <v>-0.13950410299999999</v>
      </c>
      <c r="W62">
        <v>-0.12110228300000001</v>
      </c>
      <c r="X62">
        <v>-0.12443823</v>
      </c>
      <c r="Y62">
        <v>-0.13917459300000001</v>
      </c>
      <c r="Z62">
        <v>0</v>
      </c>
      <c r="AA62">
        <v>0</v>
      </c>
      <c r="AB62">
        <v>19</v>
      </c>
      <c r="AC62">
        <v>45</v>
      </c>
      <c r="AD62">
        <v>22</v>
      </c>
      <c r="AE62">
        <v>164</v>
      </c>
      <c r="AF62">
        <v>0</v>
      </c>
      <c r="AG62">
        <v>0</v>
      </c>
      <c r="AH62">
        <v>0.32604</v>
      </c>
      <c r="AI62">
        <v>0.72</v>
      </c>
      <c r="AJ62">
        <v>1.9272000000000001E-2</v>
      </c>
      <c r="AK62">
        <v>1.065312</v>
      </c>
    </row>
    <row r="63" spans="1:37">
      <c r="A63" t="s">
        <v>20</v>
      </c>
      <c r="B63">
        <v>64.590514619999993</v>
      </c>
      <c r="C63">
        <v>4.313135172</v>
      </c>
      <c r="D63">
        <v>2.1472813830000002</v>
      </c>
      <c r="E63">
        <v>1.8022514E-2</v>
      </c>
      <c r="F63">
        <v>2.1355539640000001</v>
      </c>
      <c r="G63">
        <v>7.0021609999999998E-3</v>
      </c>
      <c r="H63">
        <v>-1.1727418999999999E-2</v>
      </c>
      <c r="I63">
        <v>2.2262915000000001E-2</v>
      </c>
      <c r="J63">
        <v>68.232134180000003</v>
      </c>
      <c r="K63">
        <v>68.410746110000005</v>
      </c>
      <c r="L63">
        <v>63.918785720000002</v>
      </c>
      <c r="M63">
        <v>57.800392479999999</v>
      </c>
      <c r="N63">
        <v>2.133993856</v>
      </c>
      <c r="O63">
        <v>2.1254192839999999</v>
      </c>
      <c r="P63">
        <v>2.1685294919999998</v>
      </c>
      <c r="Q63">
        <v>2.1611829010000001</v>
      </c>
      <c r="R63">
        <v>2.1451353160000002</v>
      </c>
      <c r="S63">
        <v>2.135262123</v>
      </c>
      <c r="T63">
        <v>2.1364357809999999</v>
      </c>
      <c r="U63">
        <v>2.1253826349999998</v>
      </c>
      <c r="V63">
        <v>1.1141460000000001E-2</v>
      </c>
      <c r="W63">
        <v>9.8428390000000008E-3</v>
      </c>
      <c r="X63">
        <v>-3.2093710999999997E-2</v>
      </c>
      <c r="Y63">
        <v>-3.5800265999999997E-2</v>
      </c>
      <c r="Z63">
        <v>43</v>
      </c>
      <c r="AA63">
        <v>62</v>
      </c>
      <c r="AB63">
        <v>0</v>
      </c>
      <c r="AC63">
        <v>38</v>
      </c>
      <c r="AD63">
        <v>91</v>
      </c>
      <c r="AE63">
        <v>16</v>
      </c>
      <c r="AF63">
        <v>2.58</v>
      </c>
      <c r="AG63">
        <v>2.48</v>
      </c>
      <c r="AH63">
        <v>0</v>
      </c>
      <c r="AI63">
        <v>0.60799999999999998</v>
      </c>
      <c r="AJ63">
        <v>7.9715999999999995E-2</v>
      </c>
      <c r="AK63">
        <v>5.7477159999999996</v>
      </c>
    </row>
    <row r="64" spans="1:37">
      <c r="A64" t="s">
        <v>20</v>
      </c>
      <c r="B64">
        <v>96.287022210000003</v>
      </c>
      <c r="C64">
        <v>1.899364389</v>
      </c>
      <c r="D64">
        <v>2.6501333159999998</v>
      </c>
      <c r="E64">
        <v>2.3519919999999998E-3</v>
      </c>
      <c r="F64">
        <v>2.6106951660000002</v>
      </c>
      <c r="G64">
        <v>2.3532980000000002E-3</v>
      </c>
      <c r="H64">
        <v>-3.9438149999999998E-2</v>
      </c>
      <c r="I64" s="5" t="s">
        <v>49</v>
      </c>
      <c r="J64">
        <v>93.256614909999996</v>
      </c>
      <c r="K64">
        <v>97.757301389999995</v>
      </c>
      <c r="L64">
        <v>96.100584549999994</v>
      </c>
      <c r="M64">
        <v>98.033587999999995</v>
      </c>
      <c r="N64">
        <v>2.6528422229999999</v>
      </c>
      <c r="O64">
        <v>2.648991316</v>
      </c>
      <c r="P64">
        <v>2.6518254950000002</v>
      </c>
      <c r="Q64">
        <v>2.6468742289999998</v>
      </c>
      <c r="R64">
        <v>2.6134165579999999</v>
      </c>
      <c r="S64">
        <v>2.6095713659999999</v>
      </c>
      <c r="T64">
        <v>2.6123668950000001</v>
      </c>
      <c r="U64">
        <v>2.6074258449999999</v>
      </c>
      <c r="V64">
        <v>-3.9425664999999999E-2</v>
      </c>
      <c r="W64">
        <v>-3.9419950000000002E-2</v>
      </c>
      <c r="X64">
        <v>-3.9458600000000003E-2</v>
      </c>
      <c r="Y64">
        <v>-3.9448384000000003E-2</v>
      </c>
      <c r="Z64">
        <v>0</v>
      </c>
      <c r="AA64">
        <v>46</v>
      </c>
      <c r="AB64">
        <v>142</v>
      </c>
      <c r="AC64">
        <v>0</v>
      </c>
      <c r="AD64">
        <v>18</v>
      </c>
      <c r="AE64">
        <v>44</v>
      </c>
      <c r="AF64">
        <v>0</v>
      </c>
      <c r="AG64">
        <v>1.84</v>
      </c>
      <c r="AH64">
        <v>2.4367200000000002</v>
      </c>
      <c r="AI64">
        <v>0</v>
      </c>
      <c r="AJ64">
        <v>1.5768000000000001E-2</v>
      </c>
      <c r="AK64">
        <v>4.2924879999999996</v>
      </c>
    </row>
    <row r="65" spans="1:37">
      <c r="A65" t="s">
        <v>20</v>
      </c>
      <c r="B65">
        <v>83.045864019999996</v>
      </c>
      <c r="C65">
        <v>1.1661286</v>
      </c>
      <c r="D65">
        <v>2.1483760570000001</v>
      </c>
      <c r="E65">
        <v>3.4864244000000003E-2</v>
      </c>
      <c r="F65">
        <v>2.1592851820000001</v>
      </c>
      <c r="G65">
        <v>3.5339602999999997E-2</v>
      </c>
      <c r="H65">
        <v>1.0909125E-2</v>
      </c>
      <c r="I65">
        <v>7.7971500000000005E-4</v>
      </c>
      <c r="J65">
        <v>82.501530790000004</v>
      </c>
      <c r="K65">
        <v>83.996313839999999</v>
      </c>
      <c r="L65">
        <v>84.284558959999998</v>
      </c>
      <c r="M65">
        <v>81.401052489999998</v>
      </c>
      <c r="N65">
        <v>2.090291299</v>
      </c>
      <c r="O65">
        <v>2.1632407580000002</v>
      </c>
      <c r="P65">
        <v>2.157077234</v>
      </c>
      <c r="Q65">
        <v>2.1828949359999998</v>
      </c>
      <c r="R65">
        <v>2.1001797459999998</v>
      </c>
      <c r="S65">
        <v>2.1740828269999999</v>
      </c>
      <c r="T65">
        <v>2.1691602900000002</v>
      </c>
      <c r="U65">
        <v>2.1937178629999998</v>
      </c>
      <c r="V65">
        <v>9.8884469999999999E-3</v>
      </c>
      <c r="W65">
        <v>1.0842068999999999E-2</v>
      </c>
      <c r="X65">
        <v>1.2083056E-2</v>
      </c>
      <c r="Y65">
        <v>1.0822927E-2</v>
      </c>
      <c r="Z65">
        <v>14</v>
      </c>
      <c r="AA65">
        <v>105</v>
      </c>
      <c r="AB65">
        <v>63</v>
      </c>
      <c r="AC65">
        <v>14</v>
      </c>
      <c r="AD65">
        <v>25</v>
      </c>
      <c r="AE65">
        <v>29</v>
      </c>
      <c r="AF65">
        <v>0.84</v>
      </c>
      <c r="AG65">
        <v>4.2</v>
      </c>
      <c r="AH65">
        <v>1.08108</v>
      </c>
      <c r="AI65">
        <v>0.224</v>
      </c>
      <c r="AJ65">
        <v>2.1899999999999999E-2</v>
      </c>
      <c r="AK65">
        <v>6.3669799999999999</v>
      </c>
    </row>
    <row r="66" spans="1:37">
      <c r="A66" t="s">
        <v>20</v>
      </c>
      <c r="B66">
        <v>68.566321639999998</v>
      </c>
      <c r="C66">
        <v>3.9267445049999998</v>
      </c>
      <c r="D66">
        <v>2.1710942200000001</v>
      </c>
      <c r="E66">
        <v>1.2887386000000001E-2</v>
      </c>
      <c r="F66">
        <v>2.1820083119999998</v>
      </c>
      <c r="G66">
        <v>1.3048638E-2</v>
      </c>
      <c r="H66">
        <v>1.0914092E-2</v>
      </c>
      <c r="I66">
        <v>7.8090500000000003E-4</v>
      </c>
      <c r="J66">
        <v>63.777176400000002</v>
      </c>
      <c r="K66">
        <v>74.310505989999996</v>
      </c>
      <c r="L66">
        <v>66.462506629999993</v>
      </c>
      <c r="M66">
        <v>69.715097540000002</v>
      </c>
      <c r="N66">
        <v>2.1495899879999998</v>
      </c>
      <c r="O66">
        <v>2.1827991529999999</v>
      </c>
      <c r="P66">
        <v>2.1730879839999999</v>
      </c>
      <c r="Q66">
        <v>2.1788997550000002</v>
      </c>
      <c r="R66">
        <v>2.160430844</v>
      </c>
      <c r="S66">
        <v>2.1948859619999999</v>
      </c>
      <c r="T66">
        <v>2.1839288809999999</v>
      </c>
      <c r="U66">
        <v>2.1887875609999998</v>
      </c>
      <c r="V66">
        <v>1.0840855999999999E-2</v>
      </c>
      <c r="W66">
        <v>1.2086809E-2</v>
      </c>
      <c r="X66">
        <v>1.0840897E-2</v>
      </c>
      <c r="Y66">
        <v>9.8878060000000007E-3</v>
      </c>
      <c r="Z66">
        <v>20</v>
      </c>
      <c r="AA66">
        <v>129</v>
      </c>
      <c r="AB66">
        <v>51</v>
      </c>
      <c r="AC66">
        <v>23</v>
      </c>
      <c r="AD66">
        <v>19</v>
      </c>
      <c r="AE66">
        <v>8</v>
      </c>
      <c r="AF66">
        <v>1.2</v>
      </c>
      <c r="AG66">
        <v>5.16</v>
      </c>
      <c r="AH66">
        <v>0.87516000000000005</v>
      </c>
      <c r="AI66">
        <v>0.36799999999999999</v>
      </c>
      <c r="AJ66">
        <v>1.6643999999999999E-2</v>
      </c>
      <c r="AK66">
        <v>7.6198040000000002</v>
      </c>
    </row>
    <row r="67" spans="1:37">
      <c r="A67" t="s">
        <v>20</v>
      </c>
      <c r="B67">
        <v>60.756686610000003</v>
      </c>
      <c r="C67">
        <v>1.7227545209999999</v>
      </c>
      <c r="D67">
        <v>2.103981782</v>
      </c>
      <c r="E67">
        <v>1.5035809000000001E-2</v>
      </c>
      <c r="F67">
        <v>2.1146352909999999</v>
      </c>
      <c r="G67">
        <v>1.5085952999999999E-2</v>
      </c>
      <c r="H67">
        <v>1.0653509E-2</v>
      </c>
      <c r="I67">
        <v>8.8943099999999999E-4</v>
      </c>
      <c r="J67">
        <v>59.228091200000001</v>
      </c>
      <c r="K67">
        <v>63.66390758</v>
      </c>
      <c r="L67">
        <v>60.324949650000001</v>
      </c>
      <c r="M67">
        <v>59.80979799</v>
      </c>
      <c r="N67">
        <v>2.1294082369999998</v>
      </c>
      <c r="O67">
        <v>2.1007382030000001</v>
      </c>
      <c r="P67">
        <v>2.0921039779999999</v>
      </c>
      <c r="Q67">
        <v>2.09367671</v>
      </c>
      <c r="R67">
        <v>2.140218736</v>
      </c>
      <c r="S67">
        <v>2.1106264170000002</v>
      </c>
      <c r="T67">
        <v>2.1019732900000001</v>
      </c>
      <c r="U67">
        <v>2.1057227219999999</v>
      </c>
      <c r="V67">
        <v>1.0810498999999999E-2</v>
      </c>
      <c r="W67">
        <v>9.8882139999999993E-3</v>
      </c>
      <c r="X67">
        <v>9.8693119999999999E-3</v>
      </c>
      <c r="Y67">
        <v>1.2046012E-2</v>
      </c>
      <c r="Z67">
        <v>72</v>
      </c>
      <c r="AA67">
        <v>0</v>
      </c>
      <c r="AB67">
        <v>91</v>
      </c>
      <c r="AC67">
        <v>7</v>
      </c>
      <c r="AD67">
        <v>21</v>
      </c>
      <c r="AE67">
        <v>59</v>
      </c>
      <c r="AF67">
        <v>4.32</v>
      </c>
      <c r="AG67">
        <v>0</v>
      </c>
      <c r="AH67">
        <v>1.5615600000000001</v>
      </c>
      <c r="AI67">
        <v>0.112</v>
      </c>
      <c r="AJ67">
        <v>1.8395999999999999E-2</v>
      </c>
      <c r="AK67">
        <v>6.0119559999999996</v>
      </c>
    </row>
    <row r="68" spans="1:37">
      <c r="A68" t="s">
        <v>20</v>
      </c>
      <c r="B68">
        <v>65.739129050000003</v>
      </c>
      <c r="C68">
        <v>1.3806764929999999</v>
      </c>
      <c r="D68">
        <v>2.1623096390000001</v>
      </c>
      <c r="E68">
        <v>2.5350688E-2</v>
      </c>
      <c r="F68">
        <v>2.173137949</v>
      </c>
      <c r="G68">
        <v>2.5335587999999999E-2</v>
      </c>
      <c r="H68">
        <v>1.0828310000000001E-2</v>
      </c>
      <c r="I68" s="5" t="s">
        <v>66</v>
      </c>
      <c r="J68">
        <v>64.764628490000007</v>
      </c>
      <c r="K68">
        <v>67.244344659999996</v>
      </c>
      <c r="L68">
        <v>66.934749920000002</v>
      </c>
      <c r="M68">
        <v>64.012793139999999</v>
      </c>
      <c r="N68">
        <v>2.1188866640000001</v>
      </c>
      <c r="O68">
        <v>2.1743367039999999</v>
      </c>
      <c r="P68">
        <v>2.1731304630000001</v>
      </c>
      <c r="Q68">
        <v>2.1828847269999998</v>
      </c>
      <c r="R68">
        <v>2.1297431979999999</v>
      </c>
      <c r="S68">
        <v>2.1851458500000001</v>
      </c>
      <c r="T68">
        <v>2.1839473809999999</v>
      </c>
      <c r="U68">
        <v>2.193715369</v>
      </c>
      <c r="V68">
        <v>1.0856533999999999E-2</v>
      </c>
      <c r="W68">
        <v>1.0809146E-2</v>
      </c>
      <c r="X68">
        <v>1.0816918E-2</v>
      </c>
      <c r="Y68">
        <v>1.0830642E-2</v>
      </c>
      <c r="Z68">
        <v>42</v>
      </c>
      <c r="AA68">
        <v>120</v>
      </c>
      <c r="AB68">
        <v>24</v>
      </c>
      <c r="AC68">
        <v>18</v>
      </c>
      <c r="AD68">
        <v>0</v>
      </c>
      <c r="AE68">
        <v>46</v>
      </c>
      <c r="AF68">
        <v>2.52</v>
      </c>
      <c r="AG68">
        <v>4.8</v>
      </c>
      <c r="AH68">
        <v>0.41183999999999998</v>
      </c>
      <c r="AI68">
        <v>0.28799999999999998</v>
      </c>
      <c r="AJ68">
        <v>0</v>
      </c>
      <c r="AK68">
        <v>8.0198400000000003</v>
      </c>
    </row>
    <row r="69" spans="1:37">
      <c r="A69" t="s">
        <v>20</v>
      </c>
      <c r="B69">
        <v>40.888179479999998</v>
      </c>
      <c r="C69">
        <v>3.0653324789999998</v>
      </c>
      <c r="D69">
        <v>2.137626483</v>
      </c>
      <c r="E69">
        <v>3.0021503000000001E-2</v>
      </c>
      <c r="F69">
        <v>2.148156884</v>
      </c>
      <c r="G69">
        <v>3.0468955999999998E-2</v>
      </c>
      <c r="H69">
        <v>1.0530401E-2</v>
      </c>
      <c r="I69">
        <v>4.47515E-4</v>
      </c>
      <c r="J69">
        <v>36.553913399999999</v>
      </c>
      <c r="K69">
        <v>58.591098219999999</v>
      </c>
      <c r="L69">
        <v>42.984616369999998</v>
      </c>
      <c r="M69">
        <v>43.126008679999998</v>
      </c>
      <c r="N69">
        <v>2.0951739520000001</v>
      </c>
      <c r="O69">
        <v>2.1691189830000002</v>
      </c>
      <c r="P69">
        <v>2.1583303699999998</v>
      </c>
      <c r="Q69">
        <v>2.1593751270000001</v>
      </c>
      <c r="R69">
        <v>2.1050717730000001</v>
      </c>
      <c r="S69">
        <v>2.1789750670000001</v>
      </c>
      <c r="T69">
        <v>2.1691601409999999</v>
      </c>
      <c r="U69">
        <v>2.1702387380000001</v>
      </c>
      <c r="V69">
        <v>9.8978209999999994E-3</v>
      </c>
      <c r="W69">
        <v>9.8560839999999993E-3</v>
      </c>
      <c r="X69">
        <v>1.0829771E-2</v>
      </c>
      <c r="Y69">
        <v>1.0863611E-2</v>
      </c>
      <c r="Z69">
        <v>66</v>
      </c>
      <c r="AA69">
        <v>40</v>
      </c>
      <c r="AB69">
        <v>17</v>
      </c>
      <c r="AC69">
        <v>56</v>
      </c>
      <c r="AD69">
        <v>57</v>
      </c>
      <c r="AE69">
        <v>14</v>
      </c>
      <c r="AF69">
        <v>3.96</v>
      </c>
      <c r="AG69">
        <v>1.6</v>
      </c>
      <c r="AH69">
        <v>0.29171999999999998</v>
      </c>
      <c r="AI69">
        <v>0.89600000000000002</v>
      </c>
      <c r="AJ69">
        <v>4.9931999999999997E-2</v>
      </c>
      <c r="AK69">
        <v>6.7976520000000002</v>
      </c>
    </row>
    <row r="70" spans="1:37">
      <c r="A70" t="s">
        <v>20</v>
      </c>
      <c r="B70">
        <v>39.708199700000002</v>
      </c>
      <c r="C70">
        <v>3.422751286</v>
      </c>
      <c r="D70">
        <v>2.1602063770000002</v>
      </c>
      <c r="E70">
        <v>3.9650431E-2</v>
      </c>
      <c r="F70">
        <v>2.1711226180000001</v>
      </c>
      <c r="G70">
        <v>3.9726155999999999E-2</v>
      </c>
      <c r="H70">
        <v>1.0916241E-2</v>
      </c>
      <c r="I70">
        <v>9.0096600000000001E-4</v>
      </c>
      <c r="J70">
        <v>34.882223250000003</v>
      </c>
      <c r="K70">
        <v>61.595610499999999</v>
      </c>
      <c r="L70">
        <v>42.445692209999997</v>
      </c>
      <c r="M70">
        <v>41.796683639999998</v>
      </c>
      <c r="N70">
        <v>2.1041351239999999</v>
      </c>
      <c r="O70">
        <v>2.1730700650000001</v>
      </c>
      <c r="P70">
        <v>2.188737954</v>
      </c>
      <c r="Q70">
        <v>2.1877460540000002</v>
      </c>
      <c r="R70">
        <v>2.1149456739999999</v>
      </c>
      <c r="S70">
        <v>2.1838973770000001</v>
      </c>
      <c r="T70">
        <v>2.1986073890000002</v>
      </c>
      <c r="U70">
        <v>2.1998147910000001</v>
      </c>
      <c r="V70">
        <v>1.081055E-2</v>
      </c>
      <c r="W70">
        <v>1.0827312E-2</v>
      </c>
      <c r="X70">
        <v>9.8694349999999993E-3</v>
      </c>
      <c r="Y70">
        <v>1.2068737E-2</v>
      </c>
      <c r="Z70">
        <v>58</v>
      </c>
      <c r="AA70">
        <v>43</v>
      </c>
      <c r="AB70">
        <v>0</v>
      </c>
      <c r="AC70">
        <v>68</v>
      </c>
      <c r="AD70">
        <v>61</v>
      </c>
      <c r="AE70">
        <v>20</v>
      </c>
      <c r="AF70">
        <v>3.48</v>
      </c>
      <c r="AG70">
        <v>1.72</v>
      </c>
      <c r="AH70">
        <v>0</v>
      </c>
      <c r="AI70">
        <v>1.0880000000000001</v>
      </c>
      <c r="AJ70">
        <v>5.3435999999999997E-2</v>
      </c>
      <c r="AK70">
        <v>6.3414359999999999</v>
      </c>
    </row>
    <row r="71" spans="1:37">
      <c r="A71" t="s">
        <v>20</v>
      </c>
      <c r="B71">
        <v>60.242221530000002</v>
      </c>
      <c r="C71">
        <v>1.430126421</v>
      </c>
      <c r="D71">
        <v>2.1565550089999999</v>
      </c>
      <c r="E71">
        <v>4.294137E-3</v>
      </c>
      <c r="F71">
        <v>2.139546878</v>
      </c>
      <c r="G71">
        <v>1.8592680000000001E-3</v>
      </c>
      <c r="H71">
        <v>-1.7008130999999999E-2</v>
      </c>
      <c r="I71">
        <v>2.9434719999999999E-3</v>
      </c>
      <c r="J71">
        <v>58.223286850000001</v>
      </c>
      <c r="K71">
        <v>62.243821820000001</v>
      </c>
      <c r="L71">
        <v>60.47269395</v>
      </c>
      <c r="M71">
        <v>60.02908351</v>
      </c>
      <c r="N71">
        <v>2.1623774039999999</v>
      </c>
      <c r="O71">
        <v>2.1587294479999999</v>
      </c>
      <c r="P71">
        <v>2.1513005440000001</v>
      </c>
      <c r="Q71">
        <v>2.1538126399999999</v>
      </c>
      <c r="R71">
        <v>2.141346118</v>
      </c>
      <c r="S71">
        <v>2.1402022980000002</v>
      </c>
      <c r="T71">
        <v>2.136429047</v>
      </c>
      <c r="U71">
        <v>2.1402100499999999</v>
      </c>
      <c r="V71">
        <v>-2.1031286E-2</v>
      </c>
      <c r="W71">
        <v>-1.8527149999999999E-2</v>
      </c>
      <c r="X71">
        <v>-1.4871496999999999E-2</v>
      </c>
      <c r="Y71">
        <v>-1.3602589999999999E-2</v>
      </c>
      <c r="Z71">
        <v>68</v>
      </c>
      <c r="AA71">
        <v>13</v>
      </c>
      <c r="AB71">
        <v>0</v>
      </c>
      <c r="AC71">
        <v>0</v>
      </c>
      <c r="AD71">
        <v>111</v>
      </c>
      <c r="AE71">
        <v>58</v>
      </c>
      <c r="AF71">
        <v>4.08</v>
      </c>
      <c r="AG71">
        <v>0.52</v>
      </c>
      <c r="AH71">
        <v>0</v>
      </c>
      <c r="AI71">
        <v>0</v>
      </c>
      <c r="AJ71">
        <v>9.7236000000000003E-2</v>
      </c>
      <c r="AK71">
        <v>4.6972360000000002</v>
      </c>
    </row>
    <row r="72" spans="1:37">
      <c r="A72" t="s">
        <v>20</v>
      </c>
      <c r="B72">
        <v>62.046821659999999</v>
      </c>
      <c r="C72">
        <v>1.110386071</v>
      </c>
      <c r="D72">
        <v>2.1546120969999998</v>
      </c>
      <c r="E72">
        <v>2.9893117E-2</v>
      </c>
      <c r="F72">
        <v>2.1654197119999998</v>
      </c>
      <c r="G72">
        <v>2.9896178999999998E-2</v>
      </c>
      <c r="H72">
        <v>1.0807615E-2</v>
      </c>
      <c r="I72" s="5" t="s">
        <v>67</v>
      </c>
      <c r="J72">
        <v>62.231978050000002</v>
      </c>
      <c r="K72">
        <v>62.688273080000002</v>
      </c>
      <c r="L72">
        <v>63.073039520000002</v>
      </c>
      <c r="M72">
        <v>60.193995979999997</v>
      </c>
      <c r="N72">
        <v>2.102903344</v>
      </c>
      <c r="O72">
        <v>2.1731252529999998</v>
      </c>
      <c r="P72">
        <v>2.1693541039999999</v>
      </c>
      <c r="Q72">
        <v>2.1730656850000001</v>
      </c>
      <c r="R72">
        <v>2.1137063619999998</v>
      </c>
      <c r="S72">
        <v>2.1839485430000001</v>
      </c>
      <c r="T72">
        <v>2.180150287</v>
      </c>
      <c r="U72">
        <v>2.1838736540000001</v>
      </c>
      <c r="V72">
        <v>1.0803017999999999E-2</v>
      </c>
      <c r="W72">
        <v>1.0823289999999999E-2</v>
      </c>
      <c r="X72">
        <v>1.0796183000000001E-2</v>
      </c>
      <c r="Y72">
        <v>1.0807969000000001E-2</v>
      </c>
      <c r="Z72">
        <v>43</v>
      </c>
      <c r="AA72">
        <v>52</v>
      </c>
      <c r="AB72">
        <v>20</v>
      </c>
      <c r="AC72">
        <v>65</v>
      </c>
      <c r="AD72">
        <v>68</v>
      </c>
      <c r="AE72">
        <v>2</v>
      </c>
      <c r="AF72">
        <v>2.58</v>
      </c>
      <c r="AG72">
        <v>2.08</v>
      </c>
      <c r="AH72">
        <v>0.34320000000000001</v>
      </c>
      <c r="AI72">
        <v>1.04</v>
      </c>
      <c r="AJ72">
        <v>5.9568000000000003E-2</v>
      </c>
      <c r="AK72">
        <v>6.1027680000000002</v>
      </c>
    </row>
    <row r="73" spans="1:37">
      <c r="A73" t="s">
        <v>20</v>
      </c>
      <c r="B73">
        <v>91.659492360000002</v>
      </c>
      <c r="C73">
        <v>2.8966655989999999</v>
      </c>
      <c r="D73">
        <v>2.69407737</v>
      </c>
      <c r="E73">
        <v>5.9855050000000003E-3</v>
      </c>
      <c r="F73">
        <v>2.6105821329999999</v>
      </c>
      <c r="G73">
        <v>4.2335630000000001E-3</v>
      </c>
      <c r="H73">
        <v>-8.3495237E-2</v>
      </c>
      <c r="I73">
        <v>1.810068E-3</v>
      </c>
      <c r="J73">
        <v>87.030969209999995</v>
      </c>
      <c r="K73">
        <v>91.384273519999994</v>
      </c>
      <c r="L73">
        <v>94.253440269999999</v>
      </c>
      <c r="M73">
        <v>93.969286429999997</v>
      </c>
      <c r="N73">
        <v>2.6989818080000001</v>
      </c>
      <c r="O73">
        <v>2.700281146</v>
      </c>
      <c r="P73">
        <v>2.691611022</v>
      </c>
      <c r="Q73">
        <v>2.6854355029999999</v>
      </c>
      <c r="R73">
        <v>2.6145609830000001</v>
      </c>
      <c r="S73">
        <v>2.6146494539999998</v>
      </c>
      <c r="T73">
        <v>2.608422843</v>
      </c>
      <c r="U73">
        <v>2.604695253</v>
      </c>
      <c r="V73">
        <v>-8.4420825000000005E-2</v>
      </c>
      <c r="W73">
        <v>-8.5631691999999995E-2</v>
      </c>
      <c r="X73">
        <v>-8.3188179000000001E-2</v>
      </c>
      <c r="Y73">
        <v>-8.074025E-2</v>
      </c>
      <c r="Z73">
        <v>0</v>
      </c>
      <c r="AA73">
        <v>6</v>
      </c>
      <c r="AB73">
        <v>155</v>
      </c>
      <c r="AC73">
        <v>0</v>
      </c>
      <c r="AD73">
        <v>26</v>
      </c>
      <c r="AE73">
        <v>63</v>
      </c>
      <c r="AF73">
        <v>0</v>
      </c>
      <c r="AG73">
        <v>0.24</v>
      </c>
      <c r="AH73">
        <v>2.6598000000000002</v>
      </c>
      <c r="AI73">
        <v>0</v>
      </c>
      <c r="AJ73">
        <v>2.2776000000000001E-2</v>
      </c>
      <c r="AK73">
        <v>2.9225759999999998</v>
      </c>
    </row>
    <row r="74" spans="1:37">
      <c r="A74" t="s">
        <v>20</v>
      </c>
      <c r="B74">
        <v>36.006871760000003</v>
      </c>
      <c r="C74">
        <v>1.0467105539999999</v>
      </c>
      <c r="D74">
        <v>1.983643651</v>
      </c>
      <c r="E74">
        <v>0.28286949700000003</v>
      </c>
      <c r="F74">
        <v>1.9667553360000001</v>
      </c>
      <c r="G74">
        <v>0.281959193</v>
      </c>
      <c r="H74">
        <v>-1.6888316E-2</v>
      </c>
      <c r="I74">
        <v>9.6962000000000003E-4</v>
      </c>
      <c r="J74">
        <v>37.472779420000002</v>
      </c>
      <c r="K74">
        <v>35.095759219999998</v>
      </c>
      <c r="L74">
        <v>35.452076640000001</v>
      </c>
      <c r="M74">
        <v>52.013369910000002</v>
      </c>
      <c r="N74">
        <v>1.5899774579999999</v>
      </c>
      <c r="O74">
        <v>2.2420634760000002</v>
      </c>
      <c r="P74">
        <v>2.1188900199999998</v>
      </c>
      <c r="Q74">
        <v>2.0918531740000001</v>
      </c>
      <c r="R74">
        <v>1.5742724619999999</v>
      </c>
      <c r="S74">
        <v>2.2239834510000001</v>
      </c>
      <c r="T74">
        <v>2.1020100940000002</v>
      </c>
      <c r="U74">
        <v>2.076193886</v>
      </c>
      <c r="V74">
        <v>-1.5704995999999999E-2</v>
      </c>
      <c r="W74">
        <v>-1.8080025E-2</v>
      </c>
      <c r="X74">
        <v>-1.6879926E-2</v>
      </c>
      <c r="Y74">
        <v>-1.5659288E-2</v>
      </c>
      <c r="Z74">
        <v>11</v>
      </c>
      <c r="AA74">
        <v>49</v>
      </c>
      <c r="AB74">
        <v>0</v>
      </c>
      <c r="AC74">
        <v>165</v>
      </c>
      <c r="AD74">
        <v>7</v>
      </c>
      <c r="AE74">
        <v>18</v>
      </c>
      <c r="AF74">
        <v>0.66</v>
      </c>
      <c r="AG74">
        <v>1.96</v>
      </c>
      <c r="AH74">
        <v>0</v>
      </c>
      <c r="AI74">
        <v>2.64</v>
      </c>
      <c r="AJ74">
        <v>6.1320000000000003E-3</v>
      </c>
      <c r="AK74">
        <v>5.2661319999999998</v>
      </c>
    </row>
    <row r="75" spans="1:37">
      <c r="A75" t="s">
        <v>20</v>
      </c>
      <c r="B75">
        <v>21.33646233</v>
      </c>
      <c r="C75">
        <v>0.96187257299999995</v>
      </c>
      <c r="D75">
        <v>2.0339395680000001</v>
      </c>
      <c r="E75">
        <v>1.5304155999999999E-2</v>
      </c>
      <c r="F75">
        <v>2.036297609</v>
      </c>
      <c r="G75">
        <v>8.7173519999999994E-3</v>
      </c>
      <c r="H75">
        <v>2.35804E-3</v>
      </c>
      <c r="I75">
        <v>7.6175319999999998E-3</v>
      </c>
      <c r="J75">
        <v>20.208515859999999</v>
      </c>
      <c r="K75">
        <v>20.919657539999999</v>
      </c>
      <c r="L75">
        <v>21.380251090000002</v>
      </c>
      <c r="M75">
        <v>22.837424840000001</v>
      </c>
      <c r="N75">
        <v>2.0120310379999999</v>
      </c>
      <c r="O75">
        <v>2.0276891840000002</v>
      </c>
      <c r="P75">
        <v>2.044751341</v>
      </c>
      <c r="Q75">
        <v>2.0512867109999999</v>
      </c>
      <c r="R75">
        <v>2.021993197</v>
      </c>
      <c r="S75">
        <v>2.037649928</v>
      </c>
      <c r="T75">
        <v>2.040161608</v>
      </c>
      <c r="U75">
        <v>2.045385703</v>
      </c>
      <c r="V75">
        <v>9.9621589999999999E-3</v>
      </c>
      <c r="W75">
        <v>9.9607440000000005E-3</v>
      </c>
      <c r="X75">
        <v>-4.5897330000000004E-3</v>
      </c>
      <c r="Y75">
        <v>-5.9010080000000001E-3</v>
      </c>
      <c r="Z75">
        <v>174</v>
      </c>
      <c r="AA75">
        <v>31</v>
      </c>
      <c r="AB75">
        <v>24</v>
      </c>
      <c r="AC75">
        <v>15</v>
      </c>
      <c r="AD75">
        <v>0</v>
      </c>
      <c r="AE75">
        <v>6</v>
      </c>
      <c r="AF75">
        <v>10.44</v>
      </c>
      <c r="AG75">
        <v>1.24</v>
      </c>
      <c r="AH75">
        <v>0.41183999999999998</v>
      </c>
      <c r="AI75">
        <v>0.24</v>
      </c>
      <c r="AJ75">
        <v>0</v>
      </c>
      <c r="AK75">
        <v>12.33184</v>
      </c>
    </row>
    <row r="76" spans="1:37">
      <c r="A76" t="s">
        <v>20</v>
      </c>
      <c r="B76">
        <v>42.561204230000001</v>
      </c>
      <c r="C76">
        <v>0.99609829299999997</v>
      </c>
      <c r="D76">
        <v>2.0754842240000002</v>
      </c>
      <c r="E76">
        <v>1.2482627E-2</v>
      </c>
      <c r="F76">
        <v>2.0662418790000001</v>
      </c>
      <c r="G76">
        <v>2.1136969999999999E-3</v>
      </c>
      <c r="H76">
        <v>-9.2423450000000008E-3</v>
      </c>
      <c r="I76">
        <v>1.3576121999999999E-2</v>
      </c>
      <c r="J76">
        <v>43.941102479999998</v>
      </c>
      <c r="K76">
        <v>42.116669729999998</v>
      </c>
      <c r="L76">
        <v>41.625840490000002</v>
      </c>
      <c r="M76">
        <v>58.221063559999997</v>
      </c>
      <c r="N76">
        <v>2.0579231419999999</v>
      </c>
      <c r="O76">
        <v>2.0858236950000002</v>
      </c>
      <c r="P76">
        <v>2.0827058360000001</v>
      </c>
      <c r="Q76">
        <v>2.086124565</v>
      </c>
      <c r="R76">
        <v>2.067867251</v>
      </c>
      <c r="S76">
        <v>2.0676017949999999</v>
      </c>
      <c r="T76">
        <v>2.063256591</v>
      </c>
      <c r="U76">
        <v>2.0703249229999998</v>
      </c>
      <c r="V76">
        <v>9.9441089999999996E-3</v>
      </c>
      <c r="W76">
        <v>-1.8221899999999999E-2</v>
      </c>
      <c r="X76">
        <v>-1.9449245E-2</v>
      </c>
      <c r="Y76">
        <v>-1.5799641999999999E-2</v>
      </c>
      <c r="Z76">
        <v>90</v>
      </c>
      <c r="AA76">
        <v>20</v>
      </c>
      <c r="AB76">
        <v>16</v>
      </c>
      <c r="AC76">
        <v>67</v>
      </c>
      <c r="AD76">
        <v>0</v>
      </c>
      <c r="AE76">
        <v>57</v>
      </c>
      <c r="AF76">
        <v>5.4</v>
      </c>
      <c r="AG76">
        <v>0.8</v>
      </c>
      <c r="AH76">
        <v>0.27456000000000003</v>
      </c>
      <c r="AI76">
        <v>1.0720000000000001</v>
      </c>
      <c r="AJ76">
        <v>0</v>
      </c>
      <c r="AK76">
        <v>7.5465600000000004</v>
      </c>
    </row>
    <row r="77" spans="1:37">
      <c r="A77" t="s">
        <v>20</v>
      </c>
      <c r="B77">
        <v>101.9146078</v>
      </c>
      <c r="C77">
        <v>1.131071291</v>
      </c>
      <c r="D77">
        <v>2.1132031260000002</v>
      </c>
      <c r="E77">
        <v>1.2463400000000001E-3</v>
      </c>
      <c r="F77">
        <v>2.0950596670000001</v>
      </c>
      <c r="G77">
        <v>1.2262449999999999E-3</v>
      </c>
      <c r="H77">
        <v>-1.8143459000000001E-2</v>
      </c>
      <c r="I77" s="5" t="s">
        <v>68</v>
      </c>
      <c r="J77">
        <v>102.5074609</v>
      </c>
      <c r="K77">
        <v>100.9630883</v>
      </c>
      <c r="L77">
        <v>100.7162429</v>
      </c>
      <c r="M77">
        <v>103.4716391</v>
      </c>
      <c r="N77">
        <v>2.1137071440000001</v>
      </c>
      <c r="O77">
        <v>2.1112674400000002</v>
      </c>
      <c r="P77">
        <v>2.1131483420000001</v>
      </c>
      <c r="Q77">
        <v>2.1146895780000001</v>
      </c>
      <c r="R77">
        <v>2.0955776560000001</v>
      </c>
      <c r="S77">
        <v>2.0931498479999999</v>
      </c>
      <c r="T77">
        <v>2.0950037890000002</v>
      </c>
      <c r="U77">
        <v>2.0965073759999999</v>
      </c>
      <c r="V77">
        <v>-1.8129487999999999E-2</v>
      </c>
      <c r="W77">
        <v>-1.8117591999999998E-2</v>
      </c>
      <c r="X77">
        <v>-1.8144553000000001E-2</v>
      </c>
      <c r="Y77">
        <v>-1.8182202000000001E-2</v>
      </c>
      <c r="Z77">
        <v>14</v>
      </c>
      <c r="AA77">
        <v>115</v>
      </c>
      <c r="AB77">
        <v>6</v>
      </c>
      <c r="AC77">
        <v>0</v>
      </c>
      <c r="AD77">
        <v>17</v>
      </c>
      <c r="AE77">
        <v>98</v>
      </c>
      <c r="AF77">
        <v>0.84</v>
      </c>
      <c r="AG77">
        <v>4.5999999999999996</v>
      </c>
      <c r="AH77">
        <v>0.10296</v>
      </c>
      <c r="AI77">
        <v>0</v>
      </c>
      <c r="AJ77">
        <v>1.4892000000000001E-2</v>
      </c>
      <c r="AK77">
        <v>5.5578519999999996</v>
      </c>
    </row>
    <row r="78" spans="1:37">
      <c r="A78" t="s">
        <v>20</v>
      </c>
      <c r="B78">
        <v>100.9557363</v>
      </c>
      <c r="C78">
        <v>1.213760731</v>
      </c>
      <c r="D78">
        <v>2.121213601</v>
      </c>
      <c r="E78">
        <v>1.401956E-3</v>
      </c>
      <c r="F78">
        <v>2.1015429459999999</v>
      </c>
      <c r="G78">
        <v>9.4143600000000003E-4</v>
      </c>
      <c r="H78">
        <v>-1.9670654999999999E-2</v>
      </c>
      <c r="I78">
        <v>1.6089559999999999E-3</v>
      </c>
      <c r="J78">
        <v>98.968911180000006</v>
      </c>
      <c r="K78">
        <v>101.8342165</v>
      </c>
      <c r="L78">
        <v>100.9810209</v>
      </c>
      <c r="M78">
        <v>102.0387966</v>
      </c>
      <c r="N78">
        <v>2.1192373280000001</v>
      </c>
      <c r="O78">
        <v>2.1205487650000001</v>
      </c>
      <c r="P78">
        <v>2.1224189660000001</v>
      </c>
      <c r="Q78">
        <v>2.122649343</v>
      </c>
      <c r="R78">
        <v>2.1023531200000001</v>
      </c>
      <c r="S78">
        <v>2.0999501650000001</v>
      </c>
      <c r="T78">
        <v>2.1017831949999999</v>
      </c>
      <c r="U78">
        <v>2.102085304</v>
      </c>
      <c r="V78">
        <v>-1.6884208000000001E-2</v>
      </c>
      <c r="W78">
        <v>-2.0598600000000002E-2</v>
      </c>
      <c r="X78">
        <v>-2.0635771000000001E-2</v>
      </c>
      <c r="Y78">
        <v>-2.0564038999999999E-2</v>
      </c>
      <c r="Z78">
        <v>14</v>
      </c>
      <c r="AA78">
        <v>114</v>
      </c>
      <c r="AB78">
        <v>6</v>
      </c>
      <c r="AC78">
        <v>0</v>
      </c>
      <c r="AD78">
        <v>17</v>
      </c>
      <c r="AE78">
        <v>99</v>
      </c>
      <c r="AF78">
        <v>0.84</v>
      </c>
      <c r="AG78">
        <v>4.5599999999999996</v>
      </c>
      <c r="AH78">
        <v>0.10296</v>
      </c>
      <c r="AI78">
        <v>0</v>
      </c>
      <c r="AJ78">
        <v>1.4892000000000001E-2</v>
      </c>
      <c r="AK78">
        <v>5.5178520000000004</v>
      </c>
    </row>
    <row r="79" spans="1:37">
      <c r="A79" t="s">
        <v>20</v>
      </c>
      <c r="B79">
        <v>45.38549098</v>
      </c>
      <c r="C79">
        <v>0.33020188499999997</v>
      </c>
      <c r="D79">
        <v>2.6363279610000001</v>
      </c>
      <c r="E79">
        <v>3.0491899999999998E-3</v>
      </c>
      <c r="F79">
        <v>2.5520103500000002</v>
      </c>
      <c r="G79">
        <v>1.6208119999999999E-3</v>
      </c>
      <c r="H79">
        <v>-8.4317611000000001E-2</v>
      </c>
      <c r="I79">
        <v>1.822071E-3</v>
      </c>
      <c r="J79">
        <v>44.82745379</v>
      </c>
      <c r="K79">
        <v>45.60300951</v>
      </c>
      <c r="L79">
        <v>45.457168240000001</v>
      </c>
      <c r="M79">
        <v>45.654332369999999</v>
      </c>
      <c r="N79">
        <v>2.6397449220000002</v>
      </c>
      <c r="O79">
        <v>2.6386346610000002</v>
      </c>
      <c r="P79">
        <v>2.6320852619999999</v>
      </c>
      <c r="Q79">
        <v>2.6348469990000001</v>
      </c>
      <c r="R79">
        <v>2.552956622</v>
      </c>
      <c r="S79">
        <v>2.5541867969999998</v>
      </c>
      <c r="T79">
        <v>2.5504421769999999</v>
      </c>
      <c r="U79">
        <v>2.5504558039999998</v>
      </c>
      <c r="V79">
        <v>-8.6788299999999999E-2</v>
      </c>
      <c r="W79">
        <v>-8.4447863999999997E-2</v>
      </c>
      <c r="X79">
        <v>-8.1643085000000004E-2</v>
      </c>
      <c r="Y79">
        <v>-8.4391195000000002E-2</v>
      </c>
      <c r="Z79">
        <v>0</v>
      </c>
      <c r="AA79">
        <v>7</v>
      </c>
      <c r="AB79">
        <v>27</v>
      </c>
      <c r="AC79">
        <v>113</v>
      </c>
      <c r="AD79">
        <v>41</v>
      </c>
      <c r="AE79">
        <v>62</v>
      </c>
      <c r="AF79">
        <v>0</v>
      </c>
      <c r="AG79">
        <v>0.28000000000000003</v>
      </c>
      <c r="AH79">
        <v>0.46332000000000001</v>
      </c>
      <c r="AI79">
        <v>1.8080000000000001</v>
      </c>
      <c r="AJ79">
        <v>3.5915999999999997E-2</v>
      </c>
      <c r="AK79">
        <v>2.5872359999999999</v>
      </c>
    </row>
    <row r="80" spans="1:37">
      <c r="A80" t="s">
        <v>20</v>
      </c>
      <c r="B80">
        <v>78.871345379999994</v>
      </c>
      <c r="C80">
        <v>2.0937769230000001</v>
      </c>
      <c r="D80">
        <v>2.1357472610000001</v>
      </c>
      <c r="E80">
        <v>1.605242E-3</v>
      </c>
      <c r="F80">
        <v>2.1071252199999999</v>
      </c>
      <c r="G80">
        <v>1.966869E-3</v>
      </c>
      <c r="H80">
        <v>-2.8622042E-2</v>
      </c>
      <c r="I80">
        <v>1.075896E-3</v>
      </c>
      <c r="J80">
        <v>82.32537877</v>
      </c>
      <c r="K80">
        <v>77.804251730000004</v>
      </c>
      <c r="L80">
        <v>78.577272829999998</v>
      </c>
      <c r="M80">
        <v>76.778478199999995</v>
      </c>
      <c r="N80">
        <v>2.1340316439999998</v>
      </c>
      <c r="O80">
        <v>2.1356334619999999</v>
      </c>
      <c r="P80">
        <v>2.1349771070000001</v>
      </c>
      <c r="Q80">
        <v>2.1383468329999999</v>
      </c>
      <c r="R80">
        <v>2.1060282859999999</v>
      </c>
      <c r="S80">
        <v>2.1051479309999999</v>
      </c>
      <c r="T80">
        <v>2.1069836500000001</v>
      </c>
      <c r="U80">
        <v>2.1103410120000001</v>
      </c>
      <c r="V80">
        <v>-2.8003357999999999E-2</v>
      </c>
      <c r="W80">
        <v>-3.0485531E-2</v>
      </c>
      <c r="X80">
        <v>-2.7993456999999999E-2</v>
      </c>
      <c r="Y80">
        <v>-2.8005821E-2</v>
      </c>
      <c r="Z80">
        <v>16</v>
      </c>
      <c r="AA80">
        <v>28</v>
      </c>
      <c r="AB80">
        <v>37</v>
      </c>
      <c r="AC80">
        <v>11</v>
      </c>
      <c r="AD80">
        <v>43</v>
      </c>
      <c r="AE80">
        <v>115</v>
      </c>
      <c r="AF80">
        <v>0.96</v>
      </c>
      <c r="AG80">
        <v>1.1200000000000001</v>
      </c>
      <c r="AH80">
        <v>0.63492000000000004</v>
      </c>
      <c r="AI80">
        <v>0.17599999999999999</v>
      </c>
      <c r="AJ80">
        <v>3.7668E-2</v>
      </c>
      <c r="AK80">
        <v>2.928588</v>
      </c>
    </row>
    <row r="81" spans="1:37">
      <c r="A81" t="s">
        <v>20</v>
      </c>
      <c r="B81">
        <v>76.710274720000001</v>
      </c>
      <c r="C81">
        <v>1.4061002149999999</v>
      </c>
      <c r="D81">
        <v>1.8992857519999999</v>
      </c>
      <c r="E81">
        <v>0.23701810100000001</v>
      </c>
      <c r="F81">
        <v>1.9091816509999999</v>
      </c>
      <c r="G81">
        <v>0.23700449500000001</v>
      </c>
      <c r="H81">
        <v>9.8958980000000002E-3</v>
      </c>
      <c r="I81" s="5" t="s">
        <v>69</v>
      </c>
      <c r="J81">
        <v>84.053351730000003</v>
      </c>
      <c r="K81">
        <v>78.696455200000003</v>
      </c>
      <c r="L81">
        <v>75.633566060000007</v>
      </c>
      <c r="M81">
        <v>75.80080289</v>
      </c>
      <c r="N81">
        <v>1.430889385</v>
      </c>
      <c r="O81">
        <v>1.5640922070000001</v>
      </c>
      <c r="P81">
        <v>2.0674617309999999</v>
      </c>
      <c r="Q81">
        <v>2.0663033190000002</v>
      </c>
      <c r="R81">
        <v>1.442014645</v>
      </c>
      <c r="S81">
        <v>1.5740073750000001</v>
      </c>
      <c r="T81">
        <v>2.0773603180000002</v>
      </c>
      <c r="U81">
        <v>2.0761772590000001</v>
      </c>
      <c r="V81">
        <v>1.112526E-2</v>
      </c>
      <c r="W81">
        <v>9.9151680000000002E-3</v>
      </c>
      <c r="X81">
        <v>9.8985870000000004E-3</v>
      </c>
      <c r="Y81">
        <v>9.8739399999999995E-3</v>
      </c>
      <c r="Z81">
        <v>13</v>
      </c>
      <c r="AA81">
        <v>8</v>
      </c>
      <c r="AB81">
        <v>163</v>
      </c>
      <c r="AC81">
        <v>16</v>
      </c>
      <c r="AD81">
        <v>34</v>
      </c>
      <c r="AE81">
        <v>16</v>
      </c>
      <c r="AF81">
        <v>0.78</v>
      </c>
      <c r="AG81">
        <v>0.32</v>
      </c>
      <c r="AH81">
        <v>2.7970799999999998</v>
      </c>
      <c r="AI81">
        <v>0.25600000000000001</v>
      </c>
      <c r="AJ81">
        <v>2.9784000000000001E-2</v>
      </c>
      <c r="AK81">
        <v>4.1828640000000004</v>
      </c>
    </row>
    <row r="82" spans="1:37">
      <c r="A82" t="s">
        <v>20</v>
      </c>
      <c r="B82">
        <v>80.968109240000004</v>
      </c>
      <c r="C82">
        <v>1.0971152340000001</v>
      </c>
      <c r="D82">
        <v>2.1196228480000001</v>
      </c>
      <c r="E82">
        <v>2.9838629999999998E-3</v>
      </c>
      <c r="F82">
        <v>2.0980823260000001</v>
      </c>
      <c r="G82">
        <v>1.686213E-3</v>
      </c>
      <c r="H82">
        <v>-2.1540522999999999E-2</v>
      </c>
      <c r="I82">
        <v>1.3608089999999999E-3</v>
      </c>
      <c r="J82">
        <v>79.478124519999994</v>
      </c>
      <c r="K82">
        <v>80.707535089999993</v>
      </c>
      <c r="L82">
        <v>81.138241249999993</v>
      </c>
      <c r="M82">
        <v>82.548536110000001</v>
      </c>
      <c r="N82">
        <v>2.1149890039999999</v>
      </c>
      <c r="O82">
        <v>2.1192790970000002</v>
      </c>
      <c r="P82">
        <v>2.121207531</v>
      </c>
      <c r="Q82">
        <v>2.1230157620000001</v>
      </c>
      <c r="R82">
        <v>2.0956515929999999</v>
      </c>
      <c r="S82">
        <v>2.0974108280000001</v>
      </c>
      <c r="T82">
        <v>2.0993156630000001</v>
      </c>
      <c r="U82">
        <v>2.0999512189999998</v>
      </c>
      <c r="V82">
        <v>-1.9337410999999999E-2</v>
      </c>
      <c r="W82">
        <v>-2.1868268999999999E-2</v>
      </c>
      <c r="X82">
        <v>-2.1891867999999998E-2</v>
      </c>
      <c r="Y82">
        <v>-2.3064543E-2</v>
      </c>
      <c r="Z82">
        <v>18</v>
      </c>
      <c r="AA82">
        <v>35</v>
      </c>
      <c r="AB82">
        <v>64</v>
      </c>
      <c r="AC82">
        <v>6</v>
      </c>
      <c r="AD82">
        <v>96</v>
      </c>
      <c r="AE82">
        <v>31</v>
      </c>
      <c r="AF82">
        <v>1.08</v>
      </c>
      <c r="AG82">
        <v>1.4</v>
      </c>
      <c r="AH82">
        <v>1.0982400000000001</v>
      </c>
      <c r="AI82">
        <v>9.6000000000000002E-2</v>
      </c>
      <c r="AJ82">
        <v>8.4096000000000004E-2</v>
      </c>
      <c r="AK82">
        <v>3.7583359999999999</v>
      </c>
    </row>
    <row r="83" spans="1:37">
      <c r="A83" t="s">
        <v>20</v>
      </c>
      <c r="B83">
        <v>41.640414280000002</v>
      </c>
      <c r="C83">
        <v>1.581807827</v>
      </c>
      <c r="D83">
        <v>2.104852798</v>
      </c>
      <c r="E83">
        <v>1.0040467000000001E-2</v>
      </c>
      <c r="F83">
        <v>2.0812852309999998</v>
      </c>
      <c r="G83">
        <v>7.1089760000000004E-3</v>
      </c>
      <c r="H83">
        <v>-2.3567567000000001E-2</v>
      </c>
      <c r="I83">
        <v>2.9323370000000001E-3</v>
      </c>
      <c r="J83">
        <v>67.592811510000004</v>
      </c>
      <c r="K83">
        <v>42.966022760000001</v>
      </c>
      <c r="L83">
        <v>42.538137399999997</v>
      </c>
      <c r="M83">
        <v>39.417082690000001</v>
      </c>
      <c r="N83">
        <v>2.1339339050000001</v>
      </c>
      <c r="O83">
        <v>2.111634402</v>
      </c>
      <c r="P83">
        <v>2.1122658780000001</v>
      </c>
      <c r="Q83">
        <v>2.0906581150000001</v>
      </c>
      <c r="R83">
        <v>2.1108891430000001</v>
      </c>
      <c r="S83">
        <v>2.0860130149999998</v>
      </c>
      <c r="T83">
        <v>2.086605241</v>
      </c>
      <c r="U83">
        <v>2.0712374370000002</v>
      </c>
      <c r="V83">
        <v>-2.3044762E-2</v>
      </c>
      <c r="W83">
        <v>-2.5621386999999999E-2</v>
      </c>
      <c r="X83">
        <v>-2.5660637E-2</v>
      </c>
      <c r="Y83">
        <v>-1.9420678E-2</v>
      </c>
      <c r="Z83">
        <v>40</v>
      </c>
      <c r="AA83">
        <v>0</v>
      </c>
      <c r="AB83">
        <v>26</v>
      </c>
      <c r="AC83">
        <v>99</v>
      </c>
      <c r="AD83">
        <v>47</v>
      </c>
      <c r="AE83">
        <v>38</v>
      </c>
      <c r="AF83">
        <v>2.4</v>
      </c>
      <c r="AG83">
        <v>0</v>
      </c>
      <c r="AH83">
        <v>0.44616</v>
      </c>
      <c r="AI83">
        <v>1.5840000000000001</v>
      </c>
      <c r="AJ83">
        <v>4.1172E-2</v>
      </c>
      <c r="AK83">
        <v>4.4713320000000003</v>
      </c>
    </row>
    <row r="84" spans="1:37">
      <c r="A84" t="s">
        <v>20</v>
      </c>
      <c r="B84">
        <v>78.831324570000007</v>
      </c>
      <c r="C84">
        <v>1.657315047</v>
      </c>
      <c r="D84">
        <v>2.1039777740000001</v>
      </c>
      <c r="E84">
        <v>3.8805469999999998E-3</v>
      </c>
      <c r="F84">
        <v>2.0875204279999999</v>
      </c>
      <c r="G84">
        <v>2.799433E-3</v>
      </c>
      <c r="H84">
        <v>-1.6457346000000001E-2</v>
      </c>
      <c r="I84">
        <v>1.352525E-3</v>
      </c>
      <c r="J84">
        <v>78.346740049999994</v>
      </c>
      <c r="K84">
        <v>76.767856379999998</v>
      </c>
      <c r="L84">
        <v>81.379667060000003</v>
      </c>
      <c r="M84">
        <v>78.831034790000004</v>
      </c>
      <c r="N84">
        <v>2.0999955020000001</v>
      </c>
      <c r="O84">
        <v>2.1083458259999999</v>
      </c>
      <c r="P84">
        <v>2.107336068</v>
      </c>
      <c r="Q84">
        <v>2.1002337010000001</v>
      </c>
      <c r="R84">
        <v>2.0838679760000001</v>
      </c>
      <c r="S84">
        <v>2.0901283529999999</v>
      </c>
      <c r="T84">
        <v>2.0903513829999998</v>
      </c>
      <c r="U84">
        <v>2.0857340010000001</v>
      </c>
      <c r="V84">
        <v>-1.6127526E-2</v>
      </c>
      <c r="W84">
        <v>-1.8217473000000001E-2</v>
      </c>
      <c r="X84">
        <v>-1.6984684999999999E-2</v>
      </c>
      <c r="Y84">
        <v>-1.4499700000000001E-2</v>
      </c>
      <c r="Z84">
        <v>47</v>
      </c>
      <c r="AA84">
        <v>16</v>
      </c>
      <c r="AB84">
        <v>81</v>
      </c>
      <c r="AC84">
        <v>6</v>
      </c>
      <c r="AD84">
        <v>25</v>
      </c>
      <c r="AE84">
        <v>75</v>
      </c>
      <c r="AF84">
        <v>2.82</v>
      </c>
      <c r="AG84">
        <v>0.64</v>
      </c>
      <c r="AH84">
        <v>1.3899600000000001</v>
      </c>
      <c r="AI84">
        <v>9.6000000000000002E-2</v>
      </c>
      <c r="AJ84">
        <v>2.1899999999999999E-2</v>
      </c>
      <c r="AK84">
        <v>4.9678599999999999</v>
      </c>
    </row>
    <row r="85" spans="1:37">
      <c r="A85" t="s">
        <v>20</v>
      </c>
      <c r="B85">
        <v>48.74238501</v>
      </c>
      <c r="C85">
        <v>1.8531929540000001</v>
      </c>
      <c r="D85">
        <v>2.0778086400000002</v>
      </c>
      <c r="E85">
        <v>1.1387192000000001E-2</v>
      </c>
      <c r="F85">
        <v>2.0880238289999999</v>
      </c>
      <c r="G85">
        <v>1.0929453E-2</v>
      </c>
      <c r="H85">
        <v>1.0215189E-2</v>
      </c>
      <c r="I85">
        <v>5.3184100000000002E-4</v>
      </c>
      <c r="J85">
        <v>45.552650800000002</v>
      </c>
      <c r="K85">
        <v>49.867271840000001</v>
      </c>
      <c r="L85">
        <v>49.48695069</v>
      </c>
      <c r="M85">
        <v>50.062666700000001</v>
      </c>
      <c r="N85">
        <v>2.0603533239999998</v>
      </c>
      <c r="O85">
        <v>2.0921246340000001</v>
      </c>
      <c r="P85">
        <v>2.0808116800000001</v>
      </c>
      <c r="Q85">
        <v>2.0779449219999999</v>
      </c>
      <c r="R85">
        <v>2.0714890160000001</v>
      </c>
      <c r="S85">
        <v>2.1020644549999998</v>
      </c>
      <c r="T85">
        <v>2.0907134969999999</v>
      </c>
      <c r="U85">
        <v>2.087828349</v>
      </c>
      <c r="V85">
        <v>1.1135692000000001E-2</v>
      </c>
      <c r="W85">
        <v>9.9398209999999997E-3</v>
      </c>
      <c r="X85">
        <v>9.9018170000000003E-3</v>
      </c>
      <c r="Y85">
        <v>9.8834270000000002E-3</v>
      </c>
      <c r="Z85">
        <v>98</v>
      </c>
      <c r="AA85">
        <v>24</v>
      </c>
      <c r="AB85">
        <v>26</v>
      </c>
      <c r="AC85">
        <v>22</v>
      </c>
      <c r="AD85">
        <v>41</v>
      </c>
      <c r="AE85">
        <v>39</v>
      </c>
      <c r="AF85">
        <v>5.88</v>
      </c>
      <c r="AG85">
        <v>0.96</v>
      </c>
      <c r="AH85">
        <v>0.44616</v>
      </c>
      <c r="AI85">
        <v>0.35199999999999998</v>
      </c>
      <c r="AJ85">
        <v>3.5915999999999997E-2</v>
      </c>
      <c r="AK85">
        <v>7.6740760000000003</v>
      </c>
    </row>
    <row r="86" spans="1:37">
      <c r="A86" t="s">
        <v>20</v>
      </c>
      <c r="B86">
        <v>71.60696677</v>
      </c>
      <c r="C86">
        <v>0.95410822200000001</v>
      </c>
      <c r="D86">
        <v>2.1510654709999999</v>
      </c>
      <c r="E86">
        <v>1.4539589999999999E-3</v>
      </c>
      <c r="F86">
        <v>2.1119294900000001</v>
      </c>
      <c r="G86">
        <v>2.2227649999999998E-3</v>
      </c>
      <c r="H86">
        <v>-3.9135981E-2</v>
      </c>
      <c r="I86">
        <v>8.82215E-4</v>
      </c>
      <c r="J86">
        <v>73.220949270000006</v>
      </c>
      <c r="K86">
        <v>70.841760930000007</v>
      </c>
      <c r="L86">
        <v>70.969740950000002</v>
      </c>
      <c r="M86">
        <v>71.395415909999997</v>
      </c>
      <c r="N86">
        <v>2.1498843910000001</v>
      </c>
      <c r="O86">
        <v>2.1495703549999998</v>
      </c>
      <c r="P86">
        <v>2.1516146890000001</v>
      </c>
      <c r="Q86">
        <v>2.1531924469999999</v>
      </c>
      <c r="R86">
        <v>2.1094845169999998</v>
      </c>
      <c r="S86">
        <v>2.1104501720000002</v>
      </c>
      <c r="T86">
        <v>2.1124958500000002</v>
      </c>
      <c r="U86">
        <v>2.11528742</v>
      </c>
      <c r="V86">
        <v>-4.0399874000000002E-2</v>
      </c>
      <c r="W86">
        <v>-3.9120183000000003E-2</v>
      </c>
      <c r="X86">
        <v>-3.9118839000000002E-2</v>
      </c>
      <c r="Y86">
        <v>-3.7905027000000001E-2</v>
      </c>
      <c r="Z86">
        <v>26</v>
      </c>
      <c r="AA86">
        <v>8</v>
      </c>
      <c r="AB86">
        <v>27</v>
      </c>
      <c r="AC86">
        <v>6</v>
      </c>
      <c r="AD86">
        <v>41</v>
      </c>
      <c r="AE86">
        <v>142</v>
      </c>
      <c r="AF86">
        <v>1.56</v>
      </c>
      <c r="AG86">
        <v>0.32</v>
      </c>
      <c r="AH86">
        <v>0.46332000000000001</v>
      </c>
      <c r="AI86">
        <v>9.6000000000000002E-2</v>
      </c>
      <c r="AJ86">
        <v>3.5915999999999997E-2</v>
      </c>
      <c r="AK86">
        <v>2.4752360000000002</v>
      </c>
    </row>
    <row r="87" spans="1:37">
      <c r="A87" t="s">
        <v>20</v>
      </c>
      <c r="B87">
        <v>65.726732630000001</v>
      </c>
      <c r="C87">
        <v>0.78167878400000002</v>
      </c>
      <c r="D87">
        <v>2.1345528859999998</v>
      </c>
      <c r="E87">
        <v>8.3873460000000004E-3</v>
      </c>
      <c r="F87">
        <v>2.1098510940000001</v>
      </c>
      <c r="G87">
        <v>6.8438739999999998E-3</v>
      </c>
      <c r="H87">
        <v>-2.4701792E-2</v>
      </c>
      <c r="I87">
        <v>1.5513409999999999E-3</v>
      </c>
      <c r="J87">
        <v>66.309896300000005</v>
      </c>
      <c r="K87">
        <v>65.572486789999999</v>
      </c>
      <c r="L87">
        <v>64.855863600000006</v>
      </c>
      <c r="M87">
        <v>66.751847510000005</v>
      </c>
      <c r="N87">
        <v>1.6007424770000001</v>
      </c>
      <c r="O87">
        <v>2.1460666920000002</v>
      </c>
      <c r="P87">
        <v>2.131264904</v>
      </c>
      <c r="Q87">
        <v>2.1263270620000001</v>
      </c>
      <c r="R87">
        <v>1.5739127589999999</v>
      </c>
      <c r="S87">
        <v>2.119292003</v>
      </c>
      <c r="T87">
        <v>2.1069772160000002</v>
      </c>
      <c r="U87">
        <v>2.1032840620000002</v>
      </c>
      <c r="V87">
        <v>-2.6829717999999999E-2</v>
      </c>
      <c r="W87">
        <v>-2.6774689000000001E-2</v>
      </c>
      <c r="X87">
        <v>-2.4287688000000002E-2</v>
      </c>
      <c r="Y87">
        <v>-2.3043000000000001E-2</v>
      </c>
      <c r="Z87">
        <v>7</v>
      </c>
      <c r="AA87">
        <v>17</v>
      </c>
      <c r="AB87">
        <v>79</v>
      </c>
      <c r="AC87">
        <v>50</v>
      </c>
      <c r="AD87">
        <v>81</v>
      </c>
      <c r="AE87">
        <v>16</v>
      </c>
      <c r="AF87">
        <v>0.42</v>
      </c>
      <c r="AG87">
        <v>0.68</v>
      </c>
      <c r="AH87">
        <v>1.35564</v>
      </c>
      <c r="AI87">
        <v>0.8</v>
      </c>
      <c r="AJ87">
        <v>7.0956000000000005E-2</v>
      </c>
      <c r="AK87">
        <v>3.3265959999999999</v>
      </c>
    </row>
    <row r="88" spans="1:37">
      <c r="A88" t="s">
        <v>20</v>
      </c>
      <c r="B88">
        <v>81.979465610000005</v>
      </c>
      <c r="C88">
        <v>0.32465666100000001</v>
      </c>
      <c r="D88">
        <v>2.0745316200000001</v>
      </c>
      <c r="E88">
        <v>3.3859739999999999E-3</v>
      </c>
      <c r="F88">
        <v>2.084486777</v>
      </c>
      <c r="G88">
        <v>3.3907550000000001E-3</v>
      </c>
      <c r="H88">
        <v>9.9551569999999992E-3</v>
      </c>
      <c r="I88" s="5" t="s">
        <v>70</v>
      </c>
      <c r="J88">
        <v>82.115083170000005</v>
      </c>
      <c r="K88">
        <v>82.225027190000006</v>
      </c>
      <c r="L88">
        <v>81.421271349999998</v>
      </c>
      <c r="M88">
        <v>82.156480709999997</v>
      </c>
      <c r="N88">
        <v>2.0687281419999999</v>
      </c>
      <c r="O88">
        <v>2.0772623769999998</v>
      </c>
      <c r="P88">
        <v>2.0760911809999998</v>
      </c>
      <c r="Q88">
        <v>2.076044778</v>
      </c>
      <c r="R88">
        <v>2.0786720249999999</v>
      </c>
      <c r="S88">
        <v>2.0872026319999999</v>
      </c>
      <c r="T88">
        <v>2.0860292089999999</v>
      </c>
      <c r="U88">
        <v>2.086043241</v>
      </c>
      <c r="V88">
        <v>9.9438830000000006E-3</v>
      </c>
      <c r="W88">
        <v>9.9402550000000003E-3</v>
      </c>
      <c r="X88">
        <v>9.9380279999999998E-3</v>
      </c>
      <c r="Y88">
        <v>9.9984630000000008E-3</v>
      </c>
      <c r="Z88">
        <v>16</v>
      </c>
      <c r="AA88">
        <v>75</v>
      </c>
      <c r="AB88">
        <v>52</v>
      </c>
      <c r="AC88">
        <v>29</v>
      </c>
      <c r="AD88">
        <v>33</v>
      </c>
      <c r="AE88">
        <v>45</v>
      </c>
      <c r="AF88">
        <v>0.96</v>
      </c>
      <c r="AG88">
        <v>3</v>
      </c>
      <c r="AH88">
        <v>0.89232</v>
      </c>
      <c r="AI88">
        <v>0.46400000000000002</v>
      </c>
      <c r="AJ88">
        <v>2.8908E-2</v>
      </c>
      <c r="AK88">
        <v>5.3452279999999996</v>
      </c>
    </row>
    <row r="89" spans="1:37">
      <c r="A89" t="s">
        <v>20</v>
      </c>
      <c r="B89">
        <v>52.120050970000001</v>
      </c>
      <c r="C89">
        <v>0.92754767900000001</v>
      </c>
      <c r="D89">
        <v>1.9585351740000001</v>
      </c>
      <c r="E89">
        <v>0.24606251300000001</v>
      </c>
      <c r="F89">
        <v>1.9280914140000001</v>
      </c>
      <c r="G89">
        <v>0.25042199999999998</v>
      </c>
      <c r="H89">
        <v>-3.0443759000000001E-2</v>
      </c>
      <c r="I89">
        <v>4.3883660000000003E-3</v>
      </c>
      <c r="J89">
        <v>50.38822777</v>
      </c>
      <c r="K89">
        <v>53.317381320000003</v>
      </c>
      <c r="L89">
        <v>51.057363090000003</v>
      </c>
      <c r="M89">
        <v>51.985408499999998</v>
      </c>
      <c r="N89">
        <v>1.508219507</v>
      </c>
      <c r="O89">
        <v>1.610552977</v>
      </c>
      <c r="P89">
        <v>2.1313289659999999</v>
      </c>
      <c r="Q89">
        <v>2.1337235780000001</v>
      </c>
      <c r="R89">
        <v>1.480263449</v>
      </c>
      <c r="S89">
        <v>1.573941898</v>
      </c>
      <c r="T89">
        <v>2.1045686670000001</v>
      </c>
      <c r="U89">
        <v>2.1057636780000002</v>
      </c>
      <c r="V89">
        <v>-2.7956057999999999E-2</v>
      </c>
      <c r="W89">
        <v>-3.6611078999999998E-2</v>
      </c>
      <c r="X89">
        <v>-2.6760299000000001E-2</v>
      </c>
      <c r="Y89">
        <v>-2.7959899999999999E-2</v>
      </c>
      <c r="Z89">
        <v>7</v>
      </c>
      <c r="AA89">
        <v>19</v>
      </c>
      <c r="AB89">
        <v>27</v>
      </c>
      <c r="AC89">
        <v>98</v>
      </c>
      <c r="AD89">
        <v>42</v>
      </c>
      <c r="AE89">
        <v>57</v>
      </c>
      <c r="AF89">
        <v>0.42</v>
      </c>
      <c r="AG89">
        <v>0.76</v>
      </c>
      <c r="AH89">
        <v>0.46332000000000001</v>
      </c>
      <c r="AI89">
        <v>1.5680000000000001</v>
      </c>
      <c r="AJ89">
        <v>3.6791999999999998E-2</v>
      </c>
      <c r="AK89">
        <v>3.2481119999999999</v>
      </c>
    </row>
    <row r="90" spans="1:37">
      <c r="A90" t="s">
        <v>20</v>
      </c>
      <c r="B90">
        <v>51.077189750000002</v>
      </c>
      <c r="C90">
        <v>2.2759866080000002</v>
      </c>
      <c r="D90">
        <v>2.6232151880000001</v>
      </c>
      <c r="E90">
        <v>7.4118140000000001E-3</v>
      </c>
      <c r="F90">
        <v>2.5841038799999998</v>
      </c>
      <c r="G90">
        <v>9.2161889999999996E-3</v>
      </c>
      <c r="H90">
        <v>-3.9111308999999997E-2</v>
      </c>
      <c r="I90">
        <v>1.1898433999999999E-2</v>
      </c>
      <c r="J90">
        <v>54.96336634</v>
      </c>
      <c r="K90">
        <v>49.982916439999997</v>
      </c>
      <c r="L90">
        <v>50.192753340000003</v>
      </c>
      <c r="M90">
        <v>49.169722890000003</v>
      </c>
      <c r="N90">
        <v>2.627592962</v>
      </c>
      <c r="O90">
        <v>2.61151892</v>
      </c>
      <c r="P90">
        <v>2.631175142</v>
      </c>
      <c r="Q90">
        <v>2.622573729</v>
      </c>
      <c r="R90">
        <v>2.569051124</v>
      </c>
      <c r="S90">
        <v>2.585006768</v>
      </c>
      <c r="T90">
        <v>2.5936529340000001</v>
      </c>
      <c r="U90">
        <v>2.5887046929999999</v>
      </c>
      <c r="V90">
        <v>-5.8541837999999999E-2</v>
      </c>
      <c r="W90">
        <v>-2.6512152000000001E-2</v>
      </c>
      <c r="X90">
        <v>-3.7522208000000001E-2</v>
      </c>
      <c r="Y90">
        <v>-3.3869035999999998E-2</v>
      </c>
      <c r="Z90">
        <v>0</v>
      </c>
      <c r="AA90">
        <v>5</v>
      </c>
      <c r="AB90">
        <v>68</v>
      </c>
      <c r="AC90">
        <v>145</v>
      </c>
      <c r="AD90">
        <v>7</v>
      </c>
      <c r="AE90">
        <v>25</v>
      </c>
      <c r="AF90">
        <v>0</v>
      </c>
      <c r="AG90">
        <v>0.2</v>
      </c>
      <c r="AH90">
        <v>1.1668799999999999</v>
      </c>
      <c r="AI90">
        <v>2.3199999999999998</v>
      </c>
      <c r="AJ90">
        <v>6.1320000000000003E-3</v>
      </c>
      <c r="AK90">
        <v>3.693012</v>
      </c>
    </row>
    <row r="91" spans="1:37">
      <c r="A91" t="s">
        <v>20</v>
      </c>
      <c r="B91">
        <v>40.180638369999997</v>
      </c>
      <c r="C91">
        <v>0.36010545199999999</v>
      </c>
      <c r="D91">
        <v>2.6741688400000001</v>
      </c>
      <c r="E91">
        <v>6.0254199999999996E-4</v>
      </c>
      <c r="F91">
        <v>2.555646114</v>
      </c>
      <c r="G91">
        <v>2.6415119999999999E-3</v>
      </c>
      <c r="H91">
        <v>-0.11852272699999999</v>
      </c>
      <c r="I91">
        <v>2.4188920000000002E-3</v>
      </c>
      <c r="J91">
        <v>40.16685416</v>
      </c>
      <c r="K91">
        <v>39.9428062</v>
      </c>
      <c r="L91">
        <v>40.770286079999998</v>
      </c>
      <c r="M91">
        <v>39.842607039999997</v>
      </c>
      <c r="N91">
        <v>2.6746563220000001</v>
      </c>
      <c r="O91">
        <v>2.6735167949999998</v>
      </c>
      <c r="P91">
        <v>2.6736282720000002</v>
      </c>
      <c r="Q91">
        <v>2.6748739719999999</v>
      </c>
      <c r="R91">
        <v>2.5602212639999999</v>
      </c>
      <c r="S91">
        <v>2.5540976409999998</v>
      </c>
      <c r="T91">
        <v>2.5541421949999998</v>
      </c>
      <c r="U91">
        <v>2.5541233550000002</v>
      </c>
      <c r="V91">
        <v>-0.11443505800000001</v>
      </c>
      <c r="W91">
        <v>-0.119419154</v>
      </c>
      <c r="X91">
        <v>-0.119486077</v>
      </c>
      <c r="Y91">
        <v>-0.120750617</v>
      </c>
      <c r="Z91">
        <v>0</v>
      </c>
      <c r="AA91">
        <v>6</v>
      </c>
      <c r="AB91">
        <v>15</v>
      </c>
      <c r="AC91">
        <v>60</v>
      </c>
      <c r="AD91">
        <v>129</v>
      </c>
      <c r="AE91">
        <v>40</v>
      </c>
      <c r="AF91">
        <v>0</v>
      </c>
      <c r="AG91">
        <v>0.24</v>
      </c>
      <c r="AH91">
        <v>0.25740000000000002</v>
      </c>
      <c r="AI91">
        <v>0.96</v>
      </c>
      <c r="AJ91">
        <v>0.11300399999999999</v>
      </c>
      <c r="AK91">
        <v>1.5704039999999999</v>
      </c>
    </row>
    <row r="92" spans="1:37">
      <c r="A92" t="s">
        <v>20</v>
      </c>
      <c r="B92">
        <v>39.145431530000003</v>
      </c>
      <c r="C92">
        <v>0.55302032899999998</v>
      </c>
      <c r="D92">
        <v>2.6298066150000001</v>
      </c>
      <c r="E92">
        <v>3.5495320000000002E-3</v>
      </c>
      <c r="F92">
        <v>2.5507705349999998</v>
      </c>
      <c r="G92">
        <v>2.1843740000000002E-3</v>
      </c>
      <c r="H92">
        <v>-7.9036079999999995E-2</v>
      </c>
      <c r="I92">
        <v>2.5331569999999999E-3</v>
      </c>
      <c r="J92">
        <v>39.730993269999999</v>
      </c>
      <c r="K92">
        <v>39.301633189999997</v>
      </c>
      <c r="L92">
        <v>38.40366813</v>
      </c>
      <c r="M92">
        <v>25.179465010000001</v>
      </c>
      <c r="N92">
        <v>2.6249569429999999</v>
      </c>
      <c r="O92">
        <v>2.631109275</v>
      </c>
      <c r="P92">
        <v>2.633353627</v>
      </c>
      <c r="Q92">
        <v>2.5802530890000002</v>
      </c>
      <c r="R92">
        <v>2.5492268130000002</v>
      </c>
      <c r="S92">
        <v>2.5492250859999999</v>
      </c>
      <c r="T92">
        <v>2.5538597059999999</v>
      </c>
      <c r="U92">
        <v>2.5429762380000001</v>
      </c>
      <c r="V92">
        <v>-7.5730130000000007E-2</v>
      </c>
      <c r="W92">
        <v>-8.1884188999999996E-2</v>
      </c>
      <c r="X92">
        <v>-7.9493920999999995E-2</v>
      </c>
      <c r="Y92">
        <v>-3.7276851E-2</v>
      </c>
      <c r="Z92">
        <v>0</v>
      </c>
      <c r="AA92">
        <v>9</v>
      </c>
      <c r="AB92">
        <v>0</v>
      </c>
      <c r="AC92">
        <v>133</v>
      </c>
      <c r="AD92">
        <v>47</v>
      </c>
      <c r="AE92">
        <v>61</v>
      </c>
      <c r="AF92">
        <v>0</v>
      </c>
      <c r="AG92">
        <v>0.36</v>
      </c>
      <c r="AH92">
        <v>0</v>
      </c>
      <c r="AI92">
        <v>2.1280000000000001</v>
      </c>
      <c r="AJ92">
        <v>4.1172E-2</v>
      </c>
      <c r="AK92">
        <v>2.529172</v>
      </c>
    </row>
    <row r="93" spans="1:37">
      <c r="A93" t="s">
        <v>20</v>
      </c>
      <c r="B93">
        <v>49.400516709999998</v>
      </c>
      <c r="C93">
        <v>0.25540539899999998</v>
      </c>
      <c r="D93">
        <v>2.6420325340000002</v>
      </c>
      <c r="E93">
        <v>5.3925830000000003E-3</v>
      </c>
      <c r="F93">
        <v>2.55202946</v>
      </c>
      <c r="G93">
        <v>5.4006649999999998E-3</v>
      </c>
      <c r="H93">
        <v>-9.0003074000000002E-2</v>
      </c>
      <c r="I93">
        <v>6.2896700000000002E-4</v>
      </c>
      <c r="J93">
        <v>49.413469249999999</v>
      </c>
      <c r="K93">
        <v>49.561514840000001</v>
      </c>
      <c r="L93">
        <v>49.644985239999997</v>
      </c>
      <c r="M93">
        <v>48.982097490000001</v>
      </c>
      <c r="N93">
        <v>2.64974036</v>
      </c>
      <c r="O93">
        <v>2.643555321</v>
      </c>
      <c r="P93">
        <v>2.6398655130000002</v>
      </c>
      <c r="Q93">
        <v>2.6349689409999999</v>
      </c>
      <c r="R93">
        <v>2.5591147250000001</v>
      </c>
      <c r="S93">
        <v>2.5542089250000002</v>
      </c>
      <c r="T93">
        <v>2.5504630420000001</v>
      </c>
      <c r="U93">
        <v>2.5443311479999999</v>
      </c>
      <c r="V93">
        <v>-9.0625634999999996E-2</v>
      </c>
      <c r="W93">
        <v>-8.9346395999999995E-2</v>
      </c>
      <c r="X93">
        <v>-8.9402470999999997E-2</v>
      </c>
      <c r="Y93">
        <v>-9.0637792999999994E-2</v>
      </c>
      <c r="Z93">
        <v>0</v>
      </c>
      <c r="AA93">
        <v>0</v>
      </c>
      <c r="AB93">
        <v>33</v>
      </c>
      <c r="AC93">
        <v>93</v>
      </c>
      <c r="AD93">
        <v>24</v>
      </c>
      <c r="AE93">
        <v>100</v>
      </c>
      <c r="AF93">
        <v>0</v>
      </c>
      <c r="AG93">
        <v>0</v>
      </c>
      <c r="AH93">
        <v>0.56628000000000001</v>
      </c>
      <c r="AI93">
        <v>1.488</v>
      </c>
      <c r="AJ93">
        <v>2.1024000000000001E-2</v>
      </c>
      <c r="AK93">
        <v>2.075304</v>
      </c>
    </row>
    <row r="94" spans="1:37">
      <c r="A94" t="s">
        <v>20</v>
      </c>
      <c r="B94">
        <v>69.400456739999996</v>
      </c>
      <c r="C94">
        <v>0.53300109200000001</v>
      </c>
      <c r="D94">
        <v>2.0775529960000001</v>
      </c>
      <c r="E94">
        <v>1.852497E-3</v>
      </c>
      <c r="F94">
        <v>2.0874561539999998</v>
      </c>
      <c r="G94">
        <v>1.844945E-3</v>
      </c>
      <c r="H94">
        <v>9.9031589999999999E-3</v>
      </c>
      <c r="I94" s="5" t="s">
        <v>71</v>
      </c>
      <c r="J94">
        <v>69.282708139999997</v>
      </c>
      <c r="K94">
        <v>69.944456669999994</v>
      </c>
      <c r="L94">
        <v>68.580818539999996</v>
      </c>
      <c r="M94">
        <v>69.793843600000002</v>
      </c>
      <c r="N94">
        <v>2.0746263379999998</v>
      </c>
      <c r="O94">
        <v>2.077303583</v>
      </c>
      <c r="P94">
        <v>2.078974095</v>
      </c>
      <c r="Q94">
        <v>2.0793079670000001</v>
      </c>
      <c r="R94">
        <v>2.0845386700000001</v>
      </c>
      <c r="S94">
        <v>2.087212069</v>
      </c>
      <c r="T94">
        <v>2.0888849</v>
      </c>
      <c r="U94">
        <v>2.0891889780000001</v>
      </c>
      <c r="V94">
        <v>9.9123319999999994E-3</v>
      </c>
      <c r="W94">
        <v>9.9084859999999993E-3</v>
      </c>
      <c r="X94">
        <v>9.910805E-3</v>
      </c>
      <c r="Y94">
        <v>9.8810110000000003E-3</v>
      </c>
      <c r="Z94">
        <v>59</v>
      </c>
      <c r="AA94">
        <v>53</v>
      </c>
      <c r="AB94">
        <v>26</v>
      </c>
      <c r="AC94">
        <v>23</v>
      </c>
      <c r="AD94">
        <v>44</v>
      </c>
      <c r="AE94">
        <v>45</v>
      </c>
      <c r="AF94">
        <v>3.54</v>
      </c>
      <c r="AG94">
        <v>2.12</v>
      </c>
      <c r="AH94">
        <v>0.44616</v>
      </c>
      <c r="AI94">
        <v>0.36799999999999999</v>
      </c>
      <c r="AJ94">
        <v>3.8544000000000002E-2</v>
      </c>
      <c r="AK94">
        <v>6.5127040000000003</v>
      </c>
    </row>
    <row r="95" spans="1:37">
      <c r="A95" t="s">
        <v>20</v>
      </c>
      <c r="B95">
        <v>69.962053179999998</v>
      </c>
      <c r="C95">
        <v>0.75834203300000003</v>
      </c>
      <c r="D95">
        <v>1.952434386</v>
      </c>
      <c r="E95">
        <v>0.25213787900000001</v>
      </c>
      <c r="F95">
        <v>1.935103784</v>
      </c>
      <c r="G95">
        <v>0.25534194500000001</v>
      </c>
      <c r="H95">
        <v>-1.7330602000000001E-2</v>
      </c>
      <c r="I95">
        <v>3.2448669999999998E-3</v>
      </c>
      <c r="J95">
        <v>69.007860989999998</v>
      </c>
      <c r="K95">
        <v>70.990035270000007</v>
      </c>
      <c r="L95">
        <v>69.183366890000002</v>
      </c>
      <c r="M95">
        <v>69.712757370000006</v>
      </c>
      <c r="N95">
        <v>1.490122334</v>
      </c>
      <c r="O95">
        <v>1.5958582320000001</v>
      </c>
      <c r="P95">
        <v>2.1313140060000002</v>
      </c>
      <c r="Q95">
        <v>2.13013092</v>
      </c>
      <c r="R95">
        <v>1.473194626</v>
      </c>
      <c r="S95">
        <v>1.5739957449999999</v>
      </c>
      <c r="T95">
        <v>2.1156246439999999</v>
      </c>
      <c r="U95">
        <v>2.1156909640000001</v>
      </c>
      <c r="V95">
        <v>-1.6927708E-2</v>
      </c>
      <c r="W95">
        <v>-2.1862487E-2</v>
      </c>
      <c r="X95">
        <v>-1.5689361999999998E-2</v>
      </c>
      <c r="Y95">
        <v>-1.4439956E-2</v>
      </c>
      <c r="Z95">
        <v>10</v>
      </c>
      <c r="AA95">
        <v>49</v>
      </c>
      <c r="AB95">
        <v>27</v>
      </c>
      <c r="AC95">
        <v>69</v>
      </c>
      <c r="AD95">
        <v>55</v>
      </c>
      <c r="AE95">
        <v>40</v>
      </c>
      <c r="AF95">
        <v>0.6</v>
      </c>
      <c r="AG95">
        <v>1.96</v>
      </c>
      <c r="AH95">
        <v>0.46332000000000001</v>
      </c>
      <c r="AI95">
        <v>1.1040000000000001</v>
      </c>
      <c r="AJ95">
        <v>4.8180000000000001E-2</v>
      </c>
      <c r="AK95">
        <v>4.1755000000000004</v>
      </c>
    </row>
    <row r="96" spans="1:37">
      <c r="A96" t="s">
        <v>20</v>
      </c>
      <c r="B96">
        <v>42.975475979999999</v>
      </c>
      <c r="C96">
        <v>0.33483164799999998</v>
      </c>
      <c r="D96">
        <v>2.6983548659999999</v>
      </c>
      <c r="E96">
        <v>1.2310940000000001E-3</v>
      </c>
      <c r="F96">
        <v>2.5850261940000001</v>
      </c>
      <c r="G96">
        <v>1.3110890000000001E-3</v>
      </c>
      <c r="H96">
        <v>-0.11332867200000001</v>
      </c>
      <c r="I96">
        <v>8.6960499999999997E-4</v>
      </c>
      <c r="J96">
        <v>43.327217709999999</v>
      </c>
      <c r="K96">
        <v>43.178681269999998</v>
      </c>
      <c r="L96">
        <v>42.952414709999999</v>
      </c>
      <c r="M96">
        <v>42.443590210000004</v>
      </c>
      <c r="N96">
        <v>2.698215152</v>
      </c>
      <c r="O96">
        <v>2.6969876340000001</v>
      </c>
      <c r="P96">
        <v>2.697875845</v>
      </c>
      <c r="Q96">
        <v>2.7003408329999998</v>
      </c>
      <c r="R96">
        <v>2.5848923190000002</v>
      </c>
      <c r="S96">
        <v>2.5848889220000002</v>
      </c>
      <c r="T96">
        <v>2.5833175480000001</v>
      </c>
      <c r="U96">
        <v>2.587005988</v>
      </c>
      <c r="V96">
        <v>-0.113322833</v>
      </c>
      <c r="W96">
        <v>-0.112098712</v>
      </c>
      <c r="X96">
        <v>-0.114558297</v>
      </c>
      <c r="Y96">
        <v>-0.113334845</v>
      </c>
      <c r="Z96">
        <v>0</v>
      </c>
      <c r="AA96">
        <v>0</v>
      </c>
      <c r="AB96">
        <v>40</v>
      </c>
      <c r="AC96">
        <v>9</v>
      </c>
      <c r="AD96">
        <v>130</v>
      </c>
      <c r="AE96">
        <v>71</v>
      </c>
      <c r="AF96">
        <v>0</v>
      </c>
      <c r="AG96">
        <v>0</v>
      </c>
      <c r="AH96">
        <v>0.68640000000000001</v>
      </c>
      <c r="AI96">
        <v>0.14399999999999999</v>
      </c>
      <c r="AJ96">
        <v>0.11388</v>
      </c>
      <c r="AK96">
        <v>0.94428000000000001</v>
      </c>
    </row>
    <row r="97" spans="1:37">
      <c r="A97" t="s">
        <v>20</v>
      </c>
      <c r="B97">
        <v>38.543754939999999</v>
      </c>
      <c r="C97">
        <v>0.923785038</v>
      </c>
      <c r="D97">
        <v>2.0376977950000001</v>
      </c>
      <c r="E97">
        <v>3.7081280000000002E-3</v>
      </c>
      <c r="F97">
        <v>2.047878758</v>
      </c>
      <c r="G97">
        <v>3.877237E-3</v>
      </c>
      <c r="H97">
        <v>1.0180962999999999E-2</v>
      </c>
      <c r="I97">
        <v>5.4789699999999999E-4</v>
      </c>
      <c r="J97">
        <v>37.026387049999997</v>
      </c>
      <c r="K97">
        <v>38.822479940000001</v>
      </c>
      <c r="L97">
        <v>38.798176329999997</v>
      </c>
      <c r="M97">
        <v>39.527976459999998</v>
      </c>
      <c r="N97">
        <v>2.031302326</v>
      </c>
      <c r="O97">
        <v>2.0399641910000001</v>
      </c>
      <c r="P97">
        <v>2.040230121</v>
      </c>
      <c r="Q97">
        <v>2.0392945409999998</v>
      </c>
      <c r="R97">
        <v>2.0411727659999999</v>
      </c>
      <c r="S97">
        <v>2.0498425569999998</v>
      </c>
      <c r="T97">
        <v>2.0500754529999998</v>
      </c>
      <c r="U97">
        <v>2.0504242549999998</v>
      </c>
      <c r="V97">
        <v>9.8704399999999994E-3</v>
      </c>
      <c r="W97">
        <v>9.8783659999999995E-3</v>
      </c>
      <c r="X97">
        <v>9.845332E-3</v>
      </c>
      <c r="Y97">
        <v>1.1129714000000001E-2</v>
      </c>
      <c r="Z97">
        <v>137</v>
      </c>
      <c r="AA97">
        <v>7</v>
      </c>
      <c r="AB97">
        <v>41</v>
      </c>
      <c r="AC97">
        <v>17</v>
      </c>
      <c r="AD97">
        <v>40</v>
      </c>
      <c r="AE97">
        <v>8</v>
      </c>
      <c r="AF97">
        <v>8.2200000000000006</v>
      </c>
      <c r="AG97">
        <v>0.28000000000000003</v>
      </c>
      <c r="AH97">
        <v>0.70355999999999996</v>
      </c>
      <c r="AI97">
        <v>0.27200000000000002</v>
      </c>
      <c r="AJ97">
        <v>3.5040000000000002E-2</v>
      </c>
      <c r="AK97">
        <v>9.5106000000000002</v>
      </c>
    </row>
    <row r="98" spans="1:37">
      <c r="A98" t="s">
        <v>20</v>
      </c>
      <c r="B98">
        <v>37.294989139999998</v>
      </c>
      <c r="C98">
        <v>0.47440229099999998</v>
      </c>
      <c r="D98">
        <v>2.0396404260000001</v>
      </c>
      <c r="E98">
        <v>2.861574E-3</v>
      </c>
      <c r="F98">
        <v>2.0494918339999999</v>
      </c>
      <c r="G98">
        <v>2.8591939999999998E-3</v>
      </c>
      <c r="H98">
        <v>9.8514069999999995E-3</v>
      </c>
      <c r="I98" s="5" t="s">
        <v>68</v>
      </c>
      <c r="J98">
        <v>38.094268419999999</v>
      </c>
      <c r="K98">
        <v>37.142887780000002</v>
      </c>
      <c r="L98">
        <v>36.851341220000002</v>
      </c>
      <c r="M98">
        <v>37.091459129999997</v>
      </c>
      <c r="N98">
        <v>2.0346878340000001</v>
      </c>
      <c r="O98">
        <v>2.0414742210000001</v>
      </c>
      <c r="P98">
        <v>2.0412001219999998</v>
      </c>
      <c r="Q98">
        <v>2.0411995279999999</v>
      </c>
      <c r="R98">
        <v>2.044544712</v>
      </c>
      <c r="S98">
        <v>2.0513519690000002</v>
      </c>
      <c r="T98">
        <v>2.0510118350000002</v>
      </c>
      <c r="U98">
        <v>2.051058818</v>
      </c>
      <c r="V98">
        <v>9.8568779999999995E-3</v>
      </c>
      <c r="W98">
        <v>9.8777480000000004E-3</v>
      </c>
      <c r="X98">
        <v>9.8117129999999997E-3</v>
      </c>
      <c r="Y98">
        <v>9.8592899999999997E-3</v>
      </c>
      <c r="Z98">
        <v>133</v>
      </c>
      <c r="AA98">
        <v>0</v>
      </c>
      <c r="AB98">
        <v>29</v>
      </c>
      <c r="AC98">
        <v>39</v>
      </c>
      <c r="AD98">
        <v>22</v>
      </c>
      <c r="AE98">
        <v>27</v>
      </c>
      <c r="AF98">
        <v>7.98</v>
      </c>
      <c r="AG98">
        <v>0</v>
      </c>
      <c r="AH98">
        <v>0.49764000000000003</v>
      </c>
      <c r="AI98">
        <v>0.624</v>
      </c>
      <c r="AJ98">
        <v>1.9272000000000001E-2</v>
      </c>
      <c r="AK98">
        <v>9.1209120000000006</v>
      </c>
    </row>
    <row r="99" spans="1:37">
      <c r="A99" t="s">
        <v>20</v>
      </c>
      <c r="B99">
        <v>77.927514540000004</v>
      </c>
      <c r="C99">
        <v>0.786831053</v>
      </c>
      <c r="D99">
        <v>2.5733346780000002</v>
      </c>
      <c r="E99">
        <v>9.7682080000000004E-3</v>
      </c>
      <c r="F99">
        <v>2.5338326879999999</v>
      </c>
      <c r="G99">
        <v>1.0250036000000001E-2</v>
      </c>
      <c r="H99">
        <v>-3.9501990000000001E-2</v>
      </c>
      <c r="I99">
        <v>9.2305900000000005E-4</v>
      </c>
      <c r="J99">
        <v>76.851181019999999</v>
      </c>
      <c r="K99">
        <v>77.521480710000006</v>
      </c>
      <c r="L99">
        <v>78.503851830000002</v>
      </c>
      <c r="M99">
        <v>78.833544579999995</v>
      </c>
      <c r="N99">
        <v>2.5598509140000001</v>
      </c>
      <c r="O99">
        <v>2.5749834119999999</v>
      </c>
      <c r="P99">
        <v>2.5872242499999998</v>
      </c>
      <c r="Q99">
        <v>2.5712801349999999</v>
      </c>
      <c r="R99">
        <v>2.5205481679999999</v>
      </c>
      <c r="S99">
        <v>2.534693345</v>
      </c>
      <c r="T99">
        <v>2.549151143</v>
      </c>
      <c r="U99">
        <v>2.5309380959999999</v>
      </c>
      <c r="V99">
        <v>-3.9302746E-2</v>
      </c>
      <c r="W99">
        <v>-4.0290066999999999E-2</v>
      </c>
      <c r="X99">
        <v>-3.8073107000000002E-2</v>
      </c>
      <c r="Y99">
        <v>-4.0342039000000003E-2</v>
      </c>
      <c r="Z99">
        <v>0</v>
      </c>
      <c r="AA99">
        <v>62</v>
      </c>
      <c r="AB99">
        <v>40</v>
      </c>
      <c r="AC99">
        <v>51</v>
      </c>
      <c r="AD99">
        <v>55</v>
      </c>
      <c r="AE99">
        <v>42</v>
      </c>
      <c r="AF99">
        <v>0</v>
      </c>
      <c r="AG99">
        <v>2.48</v>
      </c>
      <c r="AH99">
        <v>0.68640000000000001</v>
      </c>
      <c r="AI99">
        <v>0.81599999999999995</v>
      </c>
      <c r="AJ99">
        <v>4.8180000000000001E-2</v>
      </c>
      <c r="AK99">
        <v>4.0305799999999996</v>
      </c>
    </row>
    <row r="100" spans="1:37">
      <c r="A100" t="s">
        <v>20</v>
      </c>
      <c r="B100">
        <v>112.16157699999999</v>
      </c>
      <c r="C100">
        <v>1.2529942780000001</v>
      </c>
      <c r="D100">
        <v>2.8777709360000001</v>
      </c>
      <c r="E100">
        <v>0.285097926</v>
      </c>
      <c r="F100">
        <v>3.0067155670000001</v>
      </c>
      <c r="G100">
        <v>6.0188079999999996E-3</v>
      </c>
      <c r="H100">
        <v>0.128944631</v>
      </c>
      <c r="I100">
        <v>0.287904404</v>
      </c>
      <c r="J100">
        <v>111.78407850000001</v>
      </c>
      <c r="K100">
        <v>113.5937584</v>
      </c>
      <c r="L100">
        <v>112.9627971</v>
      </c>
      <c r="M100">
        <v>110.3056739</v>
      </c>
      <c r="N100">
        <v>3.0333155970000001</v>
      </c>
      <c r="O100">
        <v>3.0491930370000002</v>
      </c>
      <c r="P100">
        <v>2.3840679319999998</v>
      </c>
      <c r="Q100">
        <v>3.044507179</v>
      </c>
      <c r="R100">
        <v>2.9969139619999998</v>
      </c>
      <c r="S100">
        <v>3.0116362680000002</v>
      </c>
      <c r="T100">
        <v>3.0116767179999999</v>
      </c>
      <c r="U100">
        <v>3.0066353220000002</v>
      </c>
      <c r="V100">
        <v>-3.6401635000000002E-2</v>
      </c>
      <c r="W100">
        <v>-3.7556768999999997E-2</v>
      </c>
      <c r="X100">
        <v>0.62760878600000003</v>
      </c>
      <c r="Y100">
        <v>-3.7871857000000002E-2</v>
      </c>
      <c r="Z100">
        <v>0</v>
      </c>
      <c r="AA100">
        <v>188</v>
      </c>
      <c r="AB100">
        <v>12</v>
      </c>
      <c r="AC100">
        <v>7</v>
      </c>
      <c r="AD100">
        <v>18</v>
      </c>
      <c r="AE100">
        <v>25</v>
      </c>
      <c r="AF100">
        <v>0</v>
      </c>
      <c r="AG100">
        <v>7.52</v>
      </c>
      <c r="AH100">
        <v>0.20591999999999999</v>
      </c>
      <c r="AI100">
        <v>0.112</v>
      </c>
      <c r="AJ100">
        <v>1.5768000000000001E-2</v>
      </c>
      <c r="AK100">
        <v>7.853688</v>
      </c>
    </row>
    <row r="101" spans="1:37">
      <c r="A101" t="s">
        <v>20</v>
      </c>
      <c r="B101">
        <v>105.2482741</v>
      </c>
      <c r="C101">
        <v>3.0552317269999998</v>
      </c>
      <c r="D101">
        <v>1.907049123</v>
      </c>
      <c r="E101">
        <v>1.9228160000000001E-2</v>
      </c>
      <c r="F101">
        <v>2.573661011</v>
      </c>
      <c r="G101">
        <v>1.6928425E-2</v>
      </c>
      <c r="H101">
        <v>0.66661188900000001</v>
      </c>
      <c r="I101">
        <v>2.3816950000000001E-3</v>
      </c>
      <c r="J101">
        <v>106.3292422</v>
      </c>
      <c r="K101">
        <v>109.2682638</v>
      </c>
      <c r="L101">
        <v>104.5684995</v>
      </c>
      <c r="M101">
        <v>100.8270909</v>
      </c>
      <c r="N101">
        <v>1.8756260549999999</v>
      </c>
      <c r="O101">
        <v>1.9250117899999999</v>
      </c>
      <c r="P101">
        <v>1.9075250930000001</v>
      </c>
      <c r="Q101">
        <v>1.920033552</v>
      </c>
      <c r="R101">
        <v>2.545682303</v>
      </c>
      <c r="S101">
        <v>2.5888459519999998</v>
      </c>
      <c r="T101">
        <v>2.5750053940000002</v>
      </c>
      <c r="U101">
        <v>2.5851103969999998</v>
      </c>
      <c r="V101">
        <v>0.67005624799999997</v>
      </c>
      <c r="W101">
        <v>0.66383416200000001</v>
      </c>
      <c r="X101">
        <v>0.667480301</v>
      </c>
      <c r="Y101">
        <v>0.66507684499999997</v>
      </c>
      <c r="Z101">
        <v>0</v>
      </c>
      <c r="AA101">
        <v>80</v>
      </c>
      <c r="AB101">
        <v>12</v>
      </c>
      <c r="AC101">
        <v>21</v>
      </c>
      <c r="AD101">
        <v>21</v>
      </c>
      <c r="AE101">
        <v>116</v>
      </c>
      <c r="AF101">
        <v>0</v>
      </c>
      <c r="AG101">
        <v>3.2</v>
      </c>
      <c r="AH101">
        <v>0.20591999999999999</v>
      </c>
      <c r="AI101">
        <v>0.33600000000000002</v>
      </c>
      <c r="AJ101">
        <v>1.8395999999999999E-2</v>
      </c>
      <c r="AK101">
        <v>3.760316</v>
      </c>
    </row>
    <row r="102" spans="1:37">
      <c r="A102" t="s">
        <v>20</v>
      </c>
      <c r="B102">
        <v>70.601491480000007</v>
      </c>
      <c r="C102">
        <v>1.0196867940000001</v>
      </c>
      <c r="D102">
        <v>2.1201639069999998</v>
      </c>
      <c r="E102">
        <v>5.1028469999999998E-3</v>
      </c>
      <c r="F102">
        <v>2.0985791549999999</v>
      </c>
      <c r="G102">
        <v>2.0561960000000002E-3</v>
      </c>
      <c r="H102">
        <v>-2.1584751999999999E-2</v>
      </c>
      <c r="I102">
        <v>3.0480569999999998E-3</v>
      </c>
      <c r="J102">
        <v>71.696250849999998</v>
      </c>
      <c r="K102">
        <v>70.866988269999993</v>
      </c>
      <c r="L102">
        <v>69.241235309999993</v>
      </c>
      <c r="M102">
        <v>46.918931360000002</v>
      </c>
      <c r="N102">
        <v>2.1130241380000001</v>
      </c>
      <c r="O102">
        <v>2.1228247539999998</v>
      </c>
      <c r="P102">
        <v>2.1246428289999999</v>
      </c>
      <c r="Q102">
        <v>2.1065681729999999</v>
      </c>
      <c r="R102">
        <v>2.0956912669999999</v>
      </c>
      <c r="S102">
        <v>2.099728153</v>
      </c>
      <c r="T102">
        <v>2.1003180449999999</v>
      </c>
      <c r="U102">
        <v>2.0895541400000002</v>
      </c>
      <c r="V102">
        <v>-1.7332871E-2</v>
      </c>
      <c r="W102">
        <v>-2.3096601000000001E-2</v>
      </c>
      <c r="X102">
        <v>-2.4324783999999999E-2</v>
      </c>
      <c r="Y102">
        <v>-1.7014033000000001E-2</v>
      </c>
      <c r="Z102">
        <v>48</v>
      </c>
      <c r="AA102">
        <v>20</v>
      </c>
      <c r="AB102">
        <v>0</v>
      </c>
      <c r="AC102">
        <v>75</v>
      </c>
      <c r="AD102">
        <v>64</v>
      </c>
      <c r="AE102">
        <v>43</v>
      </c>
      <c r="AF102">
        <v>2.88</v>
      </c>
      <c r="AG102">
        <v>0.8</v>
      </c>
      <c r="AH102">
        <v>0</v>
      </c>
      <c r="AI102">
        <v>1.2</v>
      </c>
      <c r="AJ102">
        <v>5.6064000000000003E-2</v>
      </c>
      <c r="AK102">
        <v>4.936064</v>
      </c>
    </row>
    <row r="103" spans="1:37">
      <c r="A103" t="s">
        <v>20</v>
      </c>
      <c r="B103">
        <v>110.9829936</v>
      </c>
      <c r="C103">
        <v>1.6060855590000001</v>
      </c>
      <c r="D103">
        <v>1.9191334959999999</v>
      </c>
      <c r="E103">
        <v>3.831844E-3</v>
      </c>
      <c r="F103">
        <v>2.595614699</v>
      </c>
      <c r="G103">
        <v>6.068993E-3</v>
      </c>
      <c r="H103">
        <v>0.67648120300000003</v>
      </c>
      <c r="I103">
        <v>2.5114320000000001E-3</v>
      </c>
      <c r="J103">
        <v>112.74068680000001</v>
      </c>
      <c r="K103">
        <v>111.1244975</v>
      </c>
      <c r="L103">
        <v>111.6773322</v>
      </c>
      <c r="M103">
        <v>108.38945769999999</v>
      </c>
      <c r="N103">
        <v>1.912656422</v>
      </c>
      <c r="O103">
        <v>1.9225073180000001</v>
      </c>
      <c r="P103">
        <v>1.920145741</v>
      </c>
      <c r="Q103">
        <v>1.9212245050000001</v>
      </c>
      <c r="R103">
        <v>2.5851340559999998</v>
      </c>
      <c r="S103">
        <v>2.5987196969999999</v>
      </c>
      <c r="T103">
        <v>2.5987343100000002</v>
      </c>
      <c r="U103">
        <v>2.5998707329999999</v>
      </c>
      <c r="V103">
        <v>0.67247763400000005</v>
      </c>
      <c r="W103">
        <v>0.67621237899999997</v>
      </c>
      <c r="X103">
        <v>0.67858856899999997</v>
      </c>
      <c r="Y103">
        <v>0.67864622799999996</v>
      </c>
      <c r="Z103">
        <v>0</v>
      </c>
      <c r="AA103">
        <v>84</v>
      </c>
      <c r="AB103">
        <v>14</v>
      </c>
      <c r="AC103">
        <v>6</v>
      </c>
      <c r="AD103">
        <v>0</v>
      </c>
      <c r="AE103">
        <v>146</v>
      </c>
      <c r="AF103">
        <v>0</v>
      </c>
      <c r="AG103">
        <v>3.36</v>
      </c>
      <c r="AH103">
        <v>0.24024000000000001</v>
      </c>
      <c r="AI103">
        <v>9.6000000000000002E-2</v>
      </c>
      <c r="AJ103">
        <v>0</v>
      </c>
      <c r="AK103">
        <v>3.69624</v>
      </c>
    </row>
    <row r="104" spans="1:37">
      <c r="A104" t="s">
        <v>20</v>
      </c>
      <c r="B104">
        <v>69.105890689999995</v>
      </c>
      <c r="C104">
        <v>17.62917376</v>
      </c>
      <c r="D104">
        <v>2.720925104</v>
      </c>
      <c r="E104">
        <v>9.8039844000000001E-2</v>
      </c>
      <c r="F104">
        <v>2.687703494</v>
      </c>
      <c r="G104">
        <v>0.10329914699999999</v>
      </c>
      <c r="H104">
        <v>-3.3221609999999999E-2</v>
      </c>
      <c r="I104">
        <v>7.4554180000000001E-3</v>
      </c>
      <c r="J104">
        <v>94.017414840000001</v>
      </c>
      <c r="K104">
        <v>57.512465249999998</v>
      </c>
      <c r="L104">
        <v>105.1993945</v>
      </c>
      <c r="M104">
        <v>55.787791990000002</v>
      </c>
      <c r="N104">
        <v>2.582319671</v>
      </c>
      <c r="O104">
        <v>2.787208374</v>
      </c>
      <c r="P104">
        <v>2.9791920379999999</v>
      </c>
      <c r="Q104">
        <v>2.7932472659999998</v>
      </c>
      <c r="R104">
        <v>2.5420567940000001</v>
      </c>
      <c r="S104">
        <v>2.7507110520000002</v>
      </c>
      <c r="T104">
        <v>2.9427560750000001</v>
      </c>
      <c r="U104">
        <v>2.770342635</v>
      </c>
      <c r="V104">
        <v>-4.0262877000000002E-2</v>
      </c>
      <c r="W104">
        <v>-3.6497321999999999E-2</v>
      </c>
      <c r="X104">
        <v>-3.6435963000000002E-2</v>
      </c>
      <c r="Y104">
        <v>-2.2904631000000002E-2</v>
      </c>
      <c r="Z104">
        <v>0</v>
      </c>
      <c r="AA104">
        <v>74</v>
      </c>
      <c r="AB104">
        <v>30</v>
      </c>
      <c r="AC104">
        <v>115</v>
      </c>
      <c r="AD104">
        <v>15</v>
      </c>
      <c r="AE104">
        <v>16</v>
      </c>
      <c r="AF104">
        <v>0</v>
      </c>
      <c r="AG104">
        <v>2.96</v>
      </c>
      <c r="AH104">
        <v>0.51480000000000004</v>
      </c>
      <c r="AI104">
        <v>1.84</v>
      </c>
      <c r="AJ104">
        <v>1.3140000000000001E-2</v>
      </c>
      <c r="AK104">
        <v>5.3279399999999999</v>
      </c>
    </row>
    <row r="105" spans="1:37">
      <c r="A105" t="s">
        <v>20</v>
      </c>
      <c r="B105">
        <v>54.828153309999998</v>
      </c>
      <c r="C105">
        <v>3.2921461249999999</v>
      </c>
      <c r="D105">
        <v>2.0364671539999999</v>
      </c>
      <c r="E105">
        <v>2.344648E-3</v>
      </c>
      <c r="F105">
        <v>2.0467096580000002</v>
      </c>
      <c r="G105">
        <v>2.2813220000000001E-3</v>
      </c>
      <c r="H105">
        <v>1.0242503999999999E-2</v>
      </c>
      <c r="I105">
        <v>5.4580099999999995E-4</v>
      </c>
      <c r="J105">
        <v>58.978603280000002</v>
      </c>
      <c r="K105">
        <v>50.076365469999999</v>
      </c>
      <c r="L105">
        <v>53.831444470000001</v>
      </c>
      <c r="M105">
        <v>56.426200020000003</v>
      </c>
      <c r="N105">
        <v>2.0404909939999998</v>
      </c>
      <c r="O105">
        <v>2.0354804419999999</v>
      </c>
      <c r="P105">
        <v>2.034622605</v>
      </c>
      <c r="Q105">
        <v>2.0352745759999999</v>
      </c>
      <c r="R105">
        <v>2.0504292309999999</v>
      </c>
      <c r="S105">
        <v>2.0466682239999998</v>
      </c>
      <c r="T105">
        <v>2.0445416239999998</v>
      </c>
      <c r="U105">
        <v>2.0451995529999998</v>
      </c>
      <c r="V105">
        <v>9.9382370000000008E-3</v>
      </c>
      <c r="W105">
        <v>1.1187782E-2</v>
      </c>
      <c r="X105">
        <v>9.9190189999999994E-3</v>
      </c>
      <c r="Y105">
        <v>9.9249769999999998E-3</v>
      </c>
      <c r="Z105">
        <v>73</v>
      </c>
      <c r="AA105">
        <v>63</v>
      </c>
      <c r="AB105">
        <v>51</v>
      </c>
      <c r="AC105">
        <v>52</v>
      </c>
      <c r="AD105">
        <v>5</v>
      </c>
      <c r="AE105">
        <v>6</v>
      </c>
      <c r="AF105">
        <v>4.38</v>
      </c>
      <c r="AG105">
        <v>2.52</v>
      </c>
      <c r="AH105">
        <v>0.87516000000000005</v>
      </c>
      <c r="AI105">
        <v>0.83199999999999996</v>
      </c>
      <c r="AJ105">
        <v>4.3800000000000002E-3</v>
      </c>
      <c r="AK105">
        <v>8.6115399999999998</v>
      </c>
    </row>
    <row r="106" spans="1:37">
      <c r="A106" t="s">
        <v>20</v>
      </c>
      <c r="B106">
        <v>98.262045929999999</v>
      </c>
      <c r="C106">
        <v>1.878033581</v>
      </c>
      <c r="D106">
        <v>2.0607001039999999</v>
      </c>
      <c r="E106">
        <v>1.370785E-3</v>
      </c>
      <c r="F106">
        <v>2.07111467</v>
      </c>
      <c r="G106">
        <v>8.4127300000000002E-4</v>
      </c>
      <c r="H106">
        <v>1.0414566E-2</v>
      </c>
      <c r="I106">
        <v>5.8235899999999996E-4</v>
      </c>
      <c r="J106">
        <v>103.1831577</v>
      </c>
      <c r="K106">
        <v>100.8742543</v>
      </c>
      <c r="L106">
        <v>97.371622860000002</v>
      </c>
      <c r="M106">
        <v>96.54026064</v>
      </c>
      <c r="N106">
        <v>1.5641276079999999</v>
      </c>
      <c r="O106">
        <v>2.0610270169999998</v>
      </c>
      <c r="P106">
        <v>2.0621914659999998</v>
      </c>
      <c r="Q106">
        <v>2.0588818290000002</v>
      </c>
      <c r="R106">
        <v>1.5740748600000001</v>
      </c>
      <c r="S106">
        <v>2.0710471699999999</v>
      </c>
      <c r="T106">
        <v>2.0721771050000002</v>
      </c>
      <c r="U106">
        <v>2.0701197339999999</v>
      </c>
      <c r="V106">
        <v>9.9472520000000002E-3</v>
      </c>
      <c r="W106">
        <v>1.0020153E-2</v>
      </c>
      <c r="X106">
        <v>9.9856389999999993E-3</v>
      </c>
      <c r="Y106">
        <v>1.1237904999999999E-2</v>
      </c>
      <c r="Z106">
        <v>6</v>
      </c>
      <c r="AA106">
        <v>182</v>
      </c>
      <c r="AB106">
        <v>16</v>
      </c>
      <c r="AC106">
        <v>17</v>
      </c>
      <c r="AD106">
        <v>22</v>
      </c>
      <c r="AE106">
        <v>7</v>
      </c>
      <c r="AF106">
        <v>0.36</v>
      </c>
      <c r="AG106">
        <v>7.28</v>
      </c>
      <c r="AH106">
        <v>0.27456000000000003</v>
      </c>
      <c r="AI106">
        <v>0.27200000000000002</v>
      </c>
      <c r="AJ106">
        <v>1.9272000000000001E-2</v>
      </c>
      <c r="AK106">
        <v>8.2058319999999991</v>
      </c>
    </row>
    <row r="107" spans="1:37">
      <c r="A107" t="s">
        <v>20</v>
      </c>
      <c r="B107">
        <v>34.747293630000001</v>
      </c>
      <c r="C107">
        <v>2.3197516739999999</v>
      </c>
      <c r="D107">
        <v>2.739785602</v>
      </c>
      <c r="E107">
        <v>6.9570939999999996E-3</v>
      </c>
      <c r="F107">
        <v>2.608387896</v>
      </c>
      <c r="G107">
        <v>7.5119740000000003E-3</v>
      </c>
      <c r="H107">
        <v>-0.131397706</v>
      </c>
      <c r="I107">
        <v>5.5497200000000004E-4</v>
      </c>
      <c r="J107">
        <v>26.862257140000001</v>
      </c>
      <c r="K107">
        <v>31.939998339999999</v>
      </c>
      <c r="L107">
        <v>34.6808421</v>
      </c>
      <c r="M107">
        <v>37.621040460000003</v>
      </c>
      <c r="N107">
        <v>2.7555201629999999</v>
      </c>
      <c r="O107">
        <v>2.7496244179999998</v>
      </c>
      <c r="P107">
        <v>2.73486479</v>
      </c>
      <c r="Q107">
        <v>2.734867597</v>
      </c>
      <c r="R107">
        <v>2.6274700150000001</v>
      </c>
      <c r="S107">
        <v>2.619011424</v>
      </c>
      <c r="T107">
        <v>2.6030874580000001</v>
      </c>
      <c r="U107">
        <v>2.6030648059999999</v>
      </c>
      <c r="V107">
        <v>-0.128050148</v>
      </c>
      <c r="W107">
        <v>-0.13061299400000001</v>
      </c>
      <c r="X107">
        <v>-0.131777332</v>
      </c>
      <c r="Y107">
        <v>-0.131802791</v>
      </c>
      <c r="Z107">
        <v>0</v>
      </c>
      <c r="AA107">
        <v>0</v>
      </c>
      <c r="AB107">
        <v>22</v>
      </c>
      <c r="AC107">
        <v>5</v>
      </c>
      <c r="AD107">
        <v>96</v>
      </c>
      <c r="AE107">
        <v>127</v>
      </c>
      <c r="AF107">
        <v>0</v>
      </c>
      <c r="AG107">
        <v>0</v>
      </c>
      <c r="AH107">
        <v>0.37752000000000002</v>
      </c>
      <c r="AI107">
        <v>0.08</v>
      </c>
      <c r="AJ107">
        <v>8.4096000000000004E-2</v>
      </c>
      <c r="AK107">
        <v>0.54161599999999999</v>
      </c>
    </row>
    <row r="108" spans="1:37">
      <c r="A108" t="s">
        <v>20</v>
      </c>
      <c r="B108">
        <v>24.587212170000001</v>
      </c>
      <c r="C108">
        <v>2.3798996649999999</v>
      </c>
      <c r="D108">
        <v>2.7166245240000002</v>
      </c>
      <c r="E108">
        <v>6.3492799999999997E-3</v>
      </c>
      <c r="F108">
        <v>2.5836371680000001</v>
      </c>
      <c r="G108">
        <v>5.9921460000000003E-3</v>
      </c>
      <c r="H108">
        <v>-0.132987356</v>
      </c>
      <c r="I108">
        <v>9.0616199999999996E-4</v>
      </c>
      <c r="J108">
        <v>21.471315090000001</v>
      </c>
      <c r="K108">
        <v>23.615966839999999</v>
      </c>
      <c r="L108">
        <v>25.279637350000002</v>
      </c>
      <c r="M108">
        <v>27.98192938</v>
      </c>
      <c r="N108">
        <v>2.7101847860000001</v>
      </c>
      <c r="O108">
        <v>2.7260224059999998</v>
      </c>
      <c r="P108">
        <v>2.7188256489999998</v>
      </c>
      <c r="Q108">
        <v>2.7114652540000002</v>
      </c>
      <c r="R108">
        <v>2.5784655110000001</v>
      </c>
      <c r="S108">
        <v>2.5930823740000002</v>
      </c>
      <c r="T108">
        <v>2.584544545</v>
      </c>
      <c r="U108">
        <v>2.5784562430000002</v>
      </c>
      <c r="V108">
        <v>-0.131719275</v>
      </c>
      <c r="W108">
        <v>-0.13294003200000001</v>
      </c>
      <c r="X108">
        <v>-0.13428110400000001</v>
      </c>
      <c r="Y108">
        <v>-0.13300901100000001</v>
      </c>
      <c r="Z108">
        <v>0</v>
      </c>
      <c r="AA108">
        <v>0</v>
      </c>
      <c r="AB108">
        <v>0</v>
      </c>
      <c r="AC108">
        <v>44</v>
      </c>
      <c r="AD108">
        <v>136</v>
      </c>
      <c r="AE108">
        <v>70</v>
      </c>
      <c r="AF108">
        <v>0</v>
      </c>
      <c r="AG108">
        <v>0</v>
      </c>
      <c r="AH108">
        <v>0</v>
      </c>
      <c r="AI108">
        <v>0.70399999999999996</v>
      </c>
      <c r="AJ108">
        <v>0.11913600000000001</v>
      </c>
      <c r="AK108">
        <v>0.82313599999999998</v>
      </c>
    </row>
    <row r="109" spans="1:37">
      <c r="A109" t="s">
        <v>20</v>
      </c>
      <c r="B109">
        <v>45.67165645</v>
      </c>
      <c r="C109">
        <v>1.510167818</v>
      </c>
      <c r="D109">
        <v>2.649715692</v>
      </c>
      <c r="E109">
        <v>7.5424359999999996E-3</v>
      </c>
      <c r="F109">
        <v>2.5790017889999999</v>
      </c>
      <c r="G109">
        <v>1.7792170999999999E-2</v>
      </c>
      <c r="H109">
        <v>-7.0713902999999995E-2</v>
      </c>
      <c r="I109">
        <v>1.0543676E-2</v>
      </c>
      <c r="J109">
        <v>45.752815499999997</v>
      </c>
      <c r="K109">
        <v>44.328383649999999</v>
      </c>
      <c r="L109">
        <v>47.781216319999999</v>
      </c>
      <c r="M109">
        <v>44.905369389999997</v>
      </c>
      <c r="N109">
        <v>1.6339058529999999</v>
      </c>
      <c r="O109">
        <v>2.6579192219999999</v>
      </c>
      <c r="P109">
        <v>2.6515180859999998</v>
      </c>
      <c r="Q109">
        <v>2.6397097679999999</v>
      </c>
      <c r="R109">
        <v>1.5741239899999999</v>
      </c>
      <c r="S109">
        <v>2.5945001849999998</v>
      </c>
      <c r="T109">
        <v>2.5884191809999999</v>
      </c>
      <c r="U109">
        <v>2.5540860009999999</v>
      </c>
      <c r="V109">
        <v>-5.9781862999999998E-2</v>
      </c>
      <c r="W109">
        <v>-6.3419036999999998E-2</v>
      </c>
      <c r="X109">
        <v>-6.3098904999999997E-2</v>
      </c>
      <c r="Y109">
        <v>-8.5623767000000003E-2</v>
      </c>
      <c r="Z109">
        <v>5</v>
      </c>
      <c r="AA109">
        <v>5</v>
      </c>
      <c r="AB109">
        <v>0</v>
      </c>
      <c r="AC109">
        <v>77</v>
      </c>
      <c r="AD109">
        <v>74</v>
      </c>
      <c r="AE109">
        <v>89</v>
      </c>
      <c r="AF109">
        <v>0.3</v>
      </c>
      <c r="AG109">
        <v>0.2</v>
      </c>
      <c r="AH109">
        <v>0</v>
      </c>
      <c r="AI109">
        <v>1.232</v>
      </c>
      <c r="AJ109">
        <v>6.4824000000000007E-2</v>
      </c>
      <c r="AK109">
        <v>1.796824</v>
      </c>
    </row>
    <row r="110" spans="1:37">
      <c r="A110" t="s">
        <v>20</v>
      </c>
      <c r="B110">
        <v>44.860580779999999</v>
      </c>
      <c r="C110">
        <v>1.2232631380000001</v>
      </c>
      <c r="D110">
        <v>2.4600751540000001</v>
      </c>
      <c r="E110">
        <v>0.18545623999999999</v>
      </c>
      <c r="F110">
        <v>2.4246200089999999</v>
      </c>
      <c r="G110">
        <v>0.18023120100000001</v>
      </c>
      <c r="H110">
        <v>-3.5455145E-2</v>
      </c>
      <c r="I110">
        <v>5.225525E-3</v>
      </c>
      <c r="J110">
        <v>38.903257179999997</v>
      </c>
      <c r="K110">
        <v>43.288966690000002</v>
      </c>
      <c r="L110">
        <v>45.020224159999998</v>
      </c>
      <c r="M110">
        <v>46.272551479999997</v>
      </c>
      <c r="N110">
        <v>1.6119850339999999</v>
      </c>
      <c r="O110">
        <v>2.5942788939999999</v>
      </c>
      <c r="P110">
        <v>2.5881220530000002</v>
      </c>
      <c r="Q110">
        <v>2.1978245140000001</v>
      </c>
      <c r="R110">
        <v>1.57413479</v>
      </c>
      <c r="S110">
        <v>2.5551280909999998</v>
      </c>
      <c r="T110">
        <v>2.548972558</v>
      </c>
      <c r="U110">
        <v>2.1697593780000002</v>
      </c>
      <c r="V110">
        <v>-3.7850243999999998E-2</v>
      </c>
      <c r="W110">
        <v>-3.9150802999999998E-2</v>
      </c>
      <c r="X110">
        <v>-3.9149494999999999E-2</v>
      </c>
      <c r="Y110">
        <v>-2.8065136000000001E-2</v>
      </c>
      <c r="Z110">
        <v>7</v>
      </c>
      <c r="AA110">
        <v>0</v>
      </c>
      <c r="AB110">
        <v>13</v>
      </c>
      <c r="AC110">
        <v>131</v>
      </c>
      <c r="AD110">
        <v>91</v>
      </c>
      <c r="AE110">
        <v>8</v>
      </c>
      <c r="AF110">
        <v>0.42</v>
      </c>
      <c r="AG110">
        <v>0</v>
      </c>
      <c r="AH110">
        <v>0.22308</v>
      </c>
      <c r="AI110">
        <v>2.0960000000000001</v>
      </c>
      <c r="AJ110">
        <v>7.9715999999999995E-2</v>
      </c>
      <c r="AK110">
        <v>2.8187959999999999</v>
      </c>
    </row>
    <row r="111" spans="1:37">
      <c r="A111" t="s">
        <v>20</v>
      </c>
      <c r="B111">
        <v>77.127688340000006</v>
      </c>
      <c r="C111">
        <v>4.2688654399999999</v>
      </c>
      <c r="D111">
        <v>2.6248165389999998</v>
      </c>
      <c r="E111">
        <v>1.5291009999999999E-3</v>
      </c>
      <c r="F111">
        <v>2.563477319</v>
      </c>
      <c r="G111">
        <v>1.887293E-3</v>
      </c>
      <c r="H111">
        <v>-6.1339220999999999E-2</v>
      </c>
      <c r="I111">
        <v>2.0984670000000001E-3</v>
      </c>
      <c r="J111">
        <v>71.288773419999998</v>
      </c>
      <c r="K111">
        <v>74.830438000000001</v>
      </c>
      <c r="L111">
        <v>81.656188950000001</v>
      </c>
      <c r="M111">
        <v>80.735352989999996</v>
      </c>
      <c r="N111">
        <v>2.6224584150000001</v>
      </c>
      <c r="O111">
        <v>2.6261580219999998</v>
      </c>
      <c r="P111">
        <v>2.6244659389999998</v>
      </c>
      <c r="Q111">
        <v>2.6261837809999999</v>
      </c>
      <c r="R111">
        <v>2.5641193250000001</v>
      </c>
      <c r="S111">
        <v>2.5653124360000001</v>
      </c>
      <c r="T111">
        <v>2.5603152699999998</v>
      </c>
      <c r="U111">
        <v>2.5641622430000002</v>
      </c>
      <c r="V111">
        <v>-5.8339090000000003E-2</v>
      </c>
      <c r="W111">
        <v>-6.0845586E-2</v>
      </c>
      <c r="X111">
        <v>-6.4150668999999994E-2</v>
      </c>
      <c r="Y111">
        <v>-6.2021538000000001E-2</v>
      </c>
      <c r="Z111">
        <v>0</v>
      </c>
      <c r="AA111">
        <v>70</v>
      </c>
      <c r="AB111">
        <v>25</v>
      </c>
      <c r="AC111">
        <v>105</v>
      </c>
      <c r="AD111">
        <v>23</v>
      </c>
      <c r="AE111">
        <v>27</v>
      </c>
      <c r="AF111">
        <v>0</v>
      </c>
      <c r="AG111">
        <v>2.8</v>
      </c>
      <c r="AH111">
        <v>0.42899999999999999</v>
      </c>
      <c r="AI111">
        <v>1.68</v>
      </c>
      <c r="AJ111">
        <v>2.0147999999999999E-2</v>
      </c>
      <c r="AK111">
        <v>4.9291479999999996</v>
      </c>
    </row>
    <row r="112" spans="1:37">
      <c r="A112" t="s">
        <v>20</v>
      </c>
      <c r="B112">
        <v>89.767911400000003</v>
      </c>
      <c r="C112">
        <v>3.148033699</v>
      </c>
      <c r="D112">
        <v>2.1310897990000002</v>
      </c>
      <c r="E112">
        <v>1.3808119999999999E-3</v>
      </c>
      <c r="F112">
        <v>2.0996094520000002</v>
      </c>
      <c r="G112">
        <v>3.2093809999999999E-3</v>
      </c>
      <c r="H112">
        <v>-3.1480346999999999E-2</v>
      </c>
      <c r="I112">
        <v>3.1578069999999999E-3</v>
      </c>
      <c r="J112">
        <v>85.734443519999999</v>
      </c>
      <c r="K112">
        <v>89.864487179999998</v>
      </c>
      <c r="L112">
        <v>88.942371510000001</v>
      </c>
      <c r="M112">
        <v>94.530343400000007</v>
      </c>
      <c r="N112">
        <v>2.1331659620000001</v>
      </c>
      <c r="O112">
        <v>2.1297949950000001</v>
      </c>
      <c r="P112">
        <v>2.13151592</v>
      </c>
      <c r="Q112">
        <v>2.1298823169999999</v>
      </c>
      <c r="R112">
        <v>2.1001932230000002</v>
      </c>
      <c r="S112">
        <v>2.0943479319999998</v>
      </c>
      <c r="T112">
        <v>2.100891098</v>
      </c>
      <c r="U112">
        <v>2.1030055540000001</v>
      </c>
      <c r="V112">
        <v>-3.2972739000000001E-2</v>
      </c>
      <c r="W112">
        <v>-3.5447063000000001E-2</v>
      </c>
      <c r="X112">
        <v>-3.0624821999999999E-2</v>
      </c>
      <c r="Y112">
        <v>-2.6876763000000001E-2</v>
      </c>
      <c r="Z112">
        <v>57</v>
      </c>
      <c r="AA112">
        <v>0</v>
      </c>
      <c r="AB112">
        <v>39</v>
      </c>
      <c r="AC112">
        <v>5</v>
      </c>
      <c r="AD112">
        <v>94</v>
      </c>
      <c r="AE112">
        <v>55</v>
      </c>
      <c r="AF112">
        <v>3.42</v>
      </c>
      <c r="AG112">
        <v>0</v>
      </c>
      <c r="AH112">
        <v>0.66923999999999995</v>
      </c>
      <c r="AI112">
        <v>0.08</v>
      </c>
      <c r="AJ112">
        <v>8.2344000000000001E-2</v>
      </c>
      <c r="AK112">
        <v>4.2515840000000003</v>
      </c>
    </row>
    <row r="113" spans="1:37">
      <c r="A113" t="s">
        <v>20</v>
      </c>
      <c r="B113">
        <v>58.363094330000003</v>
      </c>
      <c r="C113">
        <v>1.4067762770000001</v>
      </c>
      <c r="D113">
        <v>1.927452025</v>
      </c>
      <c r="E113">
        <v>0.23958369700000001</v>
      </c>
      <c r="F113">
        <v>1.9137683539999999</v>
      </c>
      <c r="G113">
        <v>0.240137509</v>
      </c>
      <c r="H113">
        <v>-1.3683671E-2</v>
      </c>
      <c r="I113">
        <v>1.1562639999999999E-3</v>
      </c>
      <c r="J113">
        <v>57.725407099999998</v>
      </c>
      <c r="K113">
        <v>57.441772819999997</v>
      </c>
      <c r="L113">
        <v>57.296697709999997</v>
      </c>
      <c r="M113">
        <v>60.350812470000001</v>
      </c>
      <c r="N113">
        <v>1.3891062219999999</v>
      </c>
      <c r="O113">
        <v>1.5886564620000001</v>
      </c>
      <c r="P113">
        <v>2.1005507219999999</v>
      </c>
      <c r="Q113">
        <v>2.0931488909999998</v>
      </c>
      <c r="R113">
        <v>1.3721258919999999</v>
      </c>
      <c r="S113">
        <v>1.574174559</v>
      </c>
      <c r="T113">
        <v>2.08603023</v>
      </c>
      <c r="U113">
        <v>2.081100272</v>
      </c>
      <c r="V113">
        <v>-1.6980329999999998E-2</v>
      </c>
      <c r="W113">
        <v>-1.4481903000000001E-2</v>
      </c>
      <c r="X113">
        <v>-1.4520491999999999E-2</v>
      </c>
      <c r="Y113">
        <v>-1.2048619E-2</v>
      </c>
      <c r="Z113">
        <v>33</v>
      </c>
      <c r="AA113">
        <v>32</v>
      </c>
      <c r="AB113">
        <v>86</v>
      </c>
      <c r="AC113">
        <v>92</v>
      </c>
      <c r="AD113">
        <v>0</v>
      </c>
      <c r="AE113">
        <v>7</v>
      </c>
      <c r="AF113">
        <v>1.98</v>
      </c>
      <c r="AG113">
        <v>1.28</v>
      </c>
      <c r="AH113">
        <v>1.47576</v>
      </c>
      <c r="AI113">
        <v>1.472</v>
      </c>
      <c r="AJ113">
        <v>0</v>
      </c>
      <c r="AK113">
        <v>6.2077600000000004</v>
      </c>
    </row>
    <row r="114" spans="1:37">
      <c r="A114" t="s">
        <v>20</v>
      </c>
      <c r="B114">
        <v>81.478468759999998</v>
      </c>
      <c r="C114">
        <v>1.143295693</v>
      </c>
      <c r="D114">
        <v>2.2061345960000001</v>
      </c>
      <c r="E114">
        <v>9.6962999999999997E-4</v>
      </c>
      <c r="F114">
        <v>2.136149144</v>
      </c>
      <c r="G114">
        <v>2.0694720000000002E-3</v>
      </c>
      <c r="H114">
        <v>-6.9985453000000003E-2</v>
      </c>
      <c r="I114">
        <v>1.4061869999999999E-3</v>
      </c>
      <c r="J114">
        <v>75.286623160000005</v>
      </c>
      <c r="K114">
        <v>80.121758009999994</v>
      </c>
      <c r="L114">
        <v>81.395122400000005</v>
      </c>
      <c r="M114">
        <v>82.918525860000003</v>
      </c>
      <c r="N114">
        <v>1.6374712520000001</v>
      </c>
      <c r="O114">
        <v>2.2074071590000002</v>
      </c>
      <c r="P114">
        <v>2.2059407069999999</v>
      </c>
      <c r="Q114">
        <v>2.2050559230000002</v>
      </c>
      <c r="R114">
        <v>1.5739989130000001</v>
      </c>
      <c r="S114">
        <v>2.1389869099999999</v>
      </c>
      <c r="T114">
        <v>2.1341102749999998</v>
      </c>
      <c r="U114">
        <v>2.1353502459999998</v>
      </c>
      <c r="V114">
        <v>-6.3472339000000003E-2</v>
      </c>
      <c r="W114">
        <v>-6.8420249000000002E-2</v>
      </c>
      <c r="X114">
        <v>-7.1830432E-2</v>
      </c>
      <c r="Y114">
        <v>-6.9705676999999994E-2</v>
      </c>
      <c r="Z114">
        <v>5</v>
      </c>
      <c r="AA114">
        <v>0</v>
      </c>
      <c r="AB114">
        <v>62</v>
      </c>
      <c r="AC114">
        <v>43</v>
      </c>
      <c r="AD114">
        <v>135</v>
      </c>
      <c r="AE114">
        <v>5</v>
      </c>
      <c r="AF114">
        <v>0.3</v>
      </c>
      <c r="AG114">
        <v>0</v>
      </c>
      <c r="AH114">
        <v>1.06392</v>
      </c>
      <c r="AI114">
        <v>0.68799999999999994</v>
      </c>
      <c r="AJ114">
        <v>0.11826</v>
      </c>
      <c r="AK114">
        <v>2.1701800000000002</v>
      </c>
    </row>
    <row r="115" spans="1:37">
      <c r="A115" t="s">
        <v>20</v>
      </c>
      <c r="B115">
        <v>71.736113090000003</v>
      </c>
      <c r="C115">
        <v>4.838810949</v>
      </c>
      <c r="D115">
        <v>2.176776914</v>
      </c>
      <c r="E115">
        <v>1.6868088999999999E-2</v>
      </c>
      <c r="F115">
        <v>2.1124465419999998</v>
      </c>
      <c r="G115">
        <v>6.8391670000000002E-3</v>
      </c>
      <c r="H115">
        <v>-6.4330371999999997E-2</v>
      </c>
      <c r="I115">
        <v>1.004035E-2</v>
      </c>
      <c r="J115">
        <v>67.181244609999993</v>
      </c>
      <c r="K115">
        <v>78.576462079999999</v>
      </c>
      <c r="L115">
        <v>68.14754508</v>
      </c>
      <c r="M115">
        <v>68.484332109999997</v>
      </c>
      <c r="N115">
        <v>1.4720330210000001</v>
      </c>
      <c r="O115">
        <v>2.1999959050000002</v>
      </c>
      <c r="P115">
        <v>2.1604284850000002</v>
      </c>
      <c r="Q115">
        <v>2.1699063519999999</v>
      </c>
      <c r="R115">
        <v>1.4316129280000001</v>
      </c>
      <c r="S115">
        <v>2.1217524249999999</v>
      </c>
      <c r="T115">
        <v>2.1055106829999999</v>
      </c>
      <c r="U115">
        <v>2.1100765180000001</v>
      </c>
      <c r="V115">
        <v>-4.0420092999999997E-2</v>
      </c>
      <c r="W115">
        <v>-7.8243480000000004E-2</v>
      </c>
      <c r="X115">
        <v>-5.4917802000000002E-2</v>
      </c>
      <c r="Y115">
        <v>-5.9829833999999998E-2</v>
      </c>
      <c r="Z115">
        <v>7</v>
      </c>
      <c r="AA115">
        <v>0</v>
      </c>
      <c r="AB115">
        <v>27</v>
      </c>
      <c r="AC115">
        <v>92</v>
      </c>
      <c r="AD115">
        <v>26</v>
      </c>
      <c r="AE115">
        <v>98</v>
      </c>
      <c r="AF115">
        <v>0.42</v>
      </c>
      <c r="AG115">
        <v>0</v>
      </c>
      <c r="AH115">
        <v>0.46332000000000001</v>
      </c>
      <c r="AI115">
        <v>1.472</v>
      </c>
      <c r="AJ115">
        <v>2.2776000000000001E-2</v>
      </c>
      <c r="AK115">
        <v>2.3780960000000002</v>
      </c>
    </row>
    <row r="116" spans="1:37">
      <c r="A116" t="s">
        <v>20</v>
      </c>
      <c r="B116">
        <v>44.383626800000002</v>
      </c>
      <c r="C116">
        <v>2.448460463</v>
      </c>
      <c r="D116">
        <v>2.046565046</v>
      </c>
      <c r="E116">
        <v>7.155458E-3</v>
      </c>
      <c r="F116">
        <v>2.0580226590000001</v>
      </c>
      <c r="G116">
        <v>6.6625419999999996E-3</v>
      </c>
      <c r="H116">
        <v>1.1457614E-2</v>
      </c>
      <c r="I116">
        <v>5.0155899999999995E-4</v>
      </c>
      <c r="J116">
        <v>40.320268059999997</v>
      </c>
      <c r="K116">
        <v>44.60077819</v>
      </c>
      <c r="L116">
        <v>46.194614250000001</v>
      </c>
      <c r="M116">
        <v>46.418846700000003</v>
      </c>
      <c r="N116">
        <v>2.0342898969999998</v>
      </c>
      <c r="O116">
        <v>2.0521224070000001</v>
      </c>
      <c r="P116">
        <v>2.0505046400000002</v>
      </c>
      <c r="Q116">
        <v>2.0493432390000001</v>
      </c>
      <c r="R116">
        <v>2.0466152609999999</v>
      </c>
      <c r="S116">
        <v>2.0633105270000001</v>
      </c>
      <c r="T116">
        <v>2.0616920269999999</v>
      </c>
      <c r="U116">
        <v>2.0604728219999999</v>
      </c>
      <c r="V116">
        <v>1.2325364E-2</v>
      </c>
      <c r="W116">
        <v>1.1188119999999999E-2</v>
      </c>
      <c r="X116">
        <v>1.1187387E-2</v>
      </c>
      <c r="Y116">
        <v>1.1129583E-2</v>
      </c>
      <c r="Z116">
        <v>121</v>
      </c>
      <c r="AA116">
        <v>0</v>
      </c>
      <c r="AB116">
        <v>39</v>
      </c>
      <c r="AC116">
        <v>47</v>
      </c>
      <c r="AD116">
        <v>38</v>
      </c>
      <c r="AE116">
        <v>5</v>
      </c>
      <c r="AF116">
        <v>7.26</v>
      </c>
      <c r="AG116">
        <v>0</v>
      </c>
      <c r="AH116">
        <v>0.66923999999999995</v>
      </c>
      <c r="AI116">
        <v>0.752</v>
      </c>
      <c r="AJ116">
        <v>3.3287999999999998E-2</v>
      </c>
      <c r="AK116">
        <v>8.7145279999999996</v>
      </c>
    </row>
    <row r="117" spans="1:37">
      <c r="A117" t="s">
        <v>20</v>
      </c>
      <c r="B117">
        <v>78.622684379999995</v>
      </c>
      <c r="C117">
        <v>0.51339797799999998</v>
      </c>
      <c r="D117">
        <v>2.1563361219999999</v>
      </c>
      <c r="E117">
        <v>3.5039300000000002E-3</v>
      </c>
      <c r="F117">
        <v>2.1217421409999999</v>
      </c>
      <c r="G117">
        <v>3.645461E-3</v>
      </c>
      <c r="H117">
        <v>-3.4593981000000003E-2</v>
      </c>
      <c r="I117">
        <v>2.5258360000000001E-3</v>
      </c>
      <c r="J117">
        <v>76.806170269999996</v>
      </c>
      <c r="K117">
        <v>79.124227730000001</v>
      </c>
      <c r="L117">
        <v>77.917262370000003</v>
      </c>
      <c r="M117">
        <v>78.826563039999996</v>
      </c>
      <c r="N117">
        <v>1.614356704</v>
      </c>
      <c r="O117">
        <v>2.1608319869999999</v>
      </c>
      <c r="P117">
        <v>2.1558928179999999</v>
      </c>
      <c r="Q117">
        <v>2.152283561</v>
      </c>
      <c r="R117">
        <v>1.5740168960000001</v>
      </c>
      <c r="S117">
        <v>2.1266865519999998</v>
      </c>
      <c r="T117">
        <v>2.1180055449999999</v>
      </c>
      <c r="U117">
        <v>2.120534326</v>
      </c>
      <c r="V117">
        <v>-4.0339807999999998E-2</v>
      </c>
      <c r="W117">
        <v>-3.4145435000000002E-2</v>
      </c>
      <c r="X117">
        <v>-3.7887272999999999E-2</v>
      </c>
      <c r="Y117">
        <v>-3.1749235000000001E-2</v>
      </c>
      <c r="Z117">
        <v>6</v>
      </c>
      <c r="AA117">
        <v>11</v>
      </c>
      <c r="AB117">
        <v>36</v>
      </c>
      <c r="AC117">
        <v>90</v>
      </c>
      <c r="AD117">
        <v>26</v>
      </c>
      <c r="AE117">
        <v>81</v>
      </c>
      <c r="AF117">
        <v>0.36</v>
      </c>
      <c r="AG117">
        <v>0.44</v>
      </c>
      <c r="AH117">
        <v>0.61775999999999998</v>
      </c>
      <c r="AI117">
        <v>1.44</v>
      </c>
      <c r="AJ117">
        <v>2.2776000000000001E-2</v>
      </c>
      <c r="AK117">
        <v>2.8805360000000002</v>
      </c>
    </row>
    <row r="118" spans="1:37">
      <c r="A118" t="s">
        <v>20</v>
      </c>
      <c r="B118">
        <v>150.1384248</v>
      </c>
      <c r="C118">
        <v>2.2335635109999998</v>
      </c>
      <c r="D118">
        <v>2.6497986999999998</v>
      </c>
      <c r="E118">
        <v>5.5807950000000004E-3</v>
      </c>
      <c r="F118">
        <v>2.5751930829999998</v>
      </c>
      <c r="G118">
        <v>4.018527E-3</v>
      </c>
      <c r="H118">
        <v>-7.4605617999999999E-2</v>
      </c>
      <c r="I118">
        <v>1.5793770000000001E-3</v>
      </c>
      <c r="J118">
        <v>134.72641820000001</v>
      </c>
      <c r="K118">
        <v>147.00994610000001</v>
      </c>
      <c r="L118">
        <v>151.32494109999999</v>
      </c>
      <c r="M118">
        <v>152.08038719999999</v>
      </c>
      <c r="N118">
        <v>1.905938967</v>
      </c>
      <c r="O118">
        <v>2.6568339550000002</v>
      </c>
      <c r="P118">
        <v>2.6431832009999998</v>
      </c>
      <c r="Q118">
        <v>2.649378945</v>
      </c>
      <c r="R118">
        <v>2.5691068939999999</v>
      </c>
      <c r="S118">
        <v>2.5801267829999999</v>
      </c>
      <c r="T118">
        <v>2.5702835309999998</v>
      </c>
      <c r="U118">
        <v>2.5751689340000001</v>
      </c>
      <c r="V118">
        <v>0.66316792700000005</v>
      </c>
      <c r="W118">
        <v>-7.6707172000000004E-2</v>
      </c>
      <c r="X118">
        <v>-7.289967E-2</v>
      </c>
      <c r="Y118">
        <v>-7.4210011000000006E-2</v>
      </c>
      <c r="Z118">
        <v>0</v>
      </c>
      <c r="AA118">
        <v>190</v>
      </c>
      <c r="AB118">
        <v>9</v>
      </c>
      <c r="AC118">
        <v>20</v>
      </c>
      <c r="AD118">
        <v>22</v>
      </c>
      <c r="AE118">
        <v>9</v>
      </c>
      <c r="AF118">
        <v>0</v>
      </c>
      <c r="AG118">
        <v>7.6</v>
      </c>
      <c r="AH118">
        <v>0.15443999999999999</v>
      </c>
      <c r="AI118">
        <v>0.32</v>
      </c>
      <c r="AJ118">
        <v>1.9272000000000001E-2</v>
      </c>
      <c r="AK118">
        <v>8.093712</v>
      </c>
    </row>
    <row r="119" spans="1:37">
      <c r="A119" t="s">
        <v>20</v>
      </c>
      <c r="B119">
        <v>107.4930476</v>
      </c>
      <c r="C119">
        <v>2.1642003779999999</v>
      </c>
      <c r="D119">
        <v>2.1463710069999999</v>
      </c>
      <c r="E119">
        <v>1.9905299999999999E-3</v>
      </c>
      <c r="F119">
        <v>2.1105613710000002</v>
      </c>
      <c r="G119">
        <v>2.6055689999999999E-3</v>
      </c>
      <c r="H119">
        <v>-3.5809635999999999E-2</v>
      </c>
      <c r="I119">
        <v>1.1478879999999999E-3</v>
      </c>
      <c r="J119">
        <v>105.0270051</v>
      </c>
      <c r="K119">
        <v>107.1561578</v>
      </c>
      <c r="L119">
        <v>106.59634680000001</v>
      </c>
      <c r="M119">
        <v>110.29597990000001</v>
      </c>
      <c r="N119">
        <v>2.1473021829999999</v>
      </c>
      <c r="O119">
        <v>2.1482060710000002</v>
      </c>
      <c r="P119">
        <v>1.4876145709999999</v>
      </c>
      <c r="Q119">
        <v>2.1436047669999998</v>
      </c>
      <c r="R119">
        <v>2.1131159049999999</v>
      </c>
      <c r="S119">
        <v>2.1115839410000001</v>
      </c>
      <c r="T119">
        <v>1.449793061</v>
      </c>
      <c r="U119">
        <v>2.1069842670000001</v>
      </c>
      <c r="V119">
        <v>-3.4186278E-2</v>
      </c>
      <c r="W119">
        <v>-3.6622130000000003E-2</v>
      </c>
      <c r="X119">
        <v>-3.7821510000000003E-2</v>
      </c>
      <c r="Y119">
        <v>-3.66205E-2</v>
      </c>
      <c r="Z119">
        <v>13</v>
      </c>
      <c r="AA119">
        <v>52</v>
      </c>
      <c r="AB119">
        <v>9</v>
      </c>
      <c r="AC119">
        <v>6</v>
      </c>
      <c r="AD119">
        <v>129</v>
      </c>
      <c r="AE119">
        <v>41</v>
      </c>
      <c r="AF119">
        <v>0.78</v>
      </c>
      <c r="AG119">
        <v>2.08</v>
      </c>
      <c r="AH119">
        <v>0.15443999999999999</v>
      </c>
      <c r="AI119">
        <v>9.6000000000000002E-2</v>
      </c>
      <c r="AJ119">
        <v>0.11300399999999999</v>
      </c>
      <c r="AK119">
        <v>3.2234440000000002</v>
      </c>
    </row>
    <row r="120" spans="1:37">
      <c r="A120" t="s">
        <v>20</v>
      </c>
      <c r="B120">
        <v>131.92593260000001</v>
      </c>
      <c r="C120">
        <v>3.7697963379999999</v>
      </c>
      <c r="D120">
        <v>2.6110971520000001</v>
      </c>
      <c r="E120">
        <v>4.04645E-3</v>
      </c>
      <c r="F120">
        <v>2.5456863900000002</v>
      </c>
      <c r="G120">
        <v>5.1651880000000002E-3</v>
      </c>
      <c r="H120">
        <v>-6.5410762999999997E-2</v>
      </c>
      <c r="I120">
        <v>1.5327749999999999E-3</v>
      </c>
      <c r="J120">
        <v>125.8993961</v>
      </c>
      <c r="K120">
        <v>136.26160250000001</v>
      </c>
      <c r="L120">
        <v>132.38486420000001</v>
      </c>
      <c r="M120">
        <v>133.1578676</v>
      </c>
      <c r="N120">
        <v>2.6176705999999998</v>
      </c>
      <c r="O120">
        <v>2.6077814080000001</v>
      </c>
      <c r="P120">
        <v>2.6111980890000002</v>
      </c>
      <c r="Q120">
        <v>2.607738511</v>
      </c>
      <c r="R120">
        <v>2.554325102</v>
      </c>
      <c r="S120">
        <v>2.543247773</v>
      </c>
      <c r="T120">
        <v>2.5444467</v>
      </c>
      <c r="U120">
        <v>2.5407259830000002</v>
      </c>
      <c r="V120">
        <v>-6.3345498E-2</v>
      </c>
      <c r="W120">
        <v>-6.4533635000000006E-2</v>
      </c>
      <c r="X120">
        <v>-6.6751388999999994E-2</v>
      </c>
      <c r="Y120">
        <v>-6.7012528000000002E-2</v>
      </c>
      <c r="Z120">
        <v>0</v>
      </c>
      <c r="AA120">
        <v>41</v>
      </c>
      <c r="AB120">
        <v>105</v>
      </c>
      <c r="AC120">
        <v>35</v>
      </c>
      <c r="AD120">
        <v>0</v>
      </c>
      <c r="AE120">
        <v>69</v>
      </c>
      <c r="AF120">
        <v>0</v>
      </c>
      <c r="AG120">
        <v>1.64</v>
      </c>
      <c r="AH120">
        <v>1.8018000000000001</v>
      </c>
      <c r="AI120">
        <v>0.56000000000000005</v>
      </c>
      <c r="AJ120">
        <v>0</v>
      </c>
      <c r="AK120">
        <v>4.0018000000000002</v>
      </c>
    </row>
    <row r="121" spans="1:37">
      <c r="A121" t="s">
        <v>20</v>
      </c>
      <c r="B121">
        <v>63.689180399999998</v>
      </c>
      <c r="C121">
        <v>2.47046755</v>
      </c>
      <c r="D121">
        <v>2.669163899</v>
      </c>
      <c r="E121">
        <v>8.7147200000000005E-3</v>
      </c>
      <c r="F121">
        <v>2.566092109</v>
      </c>
      <c r="G121">
        <v>4.9705590000000003E-3</v>
      </c>
      <c r="H121">
        <v>-0.10307179</v>
      </c>
      <c r="I121">
        <v>9.8339240000000008E-3</v>
      </c>
      <c r="J121">
        <v>60.654065439999997</v>
      </c>
      <c r="K121">
        <v>62.35062705</v>
      </c>
      <c r="L121">
        <v>63.708114270000003</v>
      </c>
      <c r="M121">
        <v>66.705361499999995</v>
      </c>
      <c r="N121">
        <v>2.6582252820000001</v>
      </c>
      <c r="O121">
        <v>1.948448502</v>
      </c>
      <c r="P121">
        <v>2.679550474</v>
      </c>
      <c r="Q121">
        <v>2.6697159410000002</v>
      </c>
      <c r="R121">
        <v>2.5690430279999998</v>
      </c>
      <c r="S121">
        <v>2.5750614110000001</v>
      </c>
      <c r="T121">
        <v>2.5701419319999999</v>
      </c>
      <c r="U121">
        <v>2.5590913670000002</v>
      </c>
      <c r="V121">
        <v>-8.9182254000000002E-2</v>
      </c>
      <c r="W121">
        <v>0.626612909</v>
      </c>
      <c r="X121">
        <v>-0.109408542</v>
      </c>
      <c r="Y121">
        <v>-0.110624574</v>
      </c>
      <c r="Z121">
        <v>0</v>
      </c>
      <c r="AA121">
        <v>34</v>
      </c>
      <c r="AB121">
        <v>37</v>
      </c>
      <c r="AC121">
        <v>27</v>
      </c>
      <c r="AD121">
        <v>23</v>
      </c>
      <c r="AE121">
        <v>129</v>
      </c>
      <c r="AF121">
        <v>0</v>
      </c>
      <c r="AG121">
        <v>1.36</v>
      </c>
      <c r="AH121">
        <v>0.63492000000000004</v>
      </c>
      <c r="AI121">
        <v>0.432</v>
      </c>
      <c r="AJ121">
        <v>2.0147999999999999E-2</v>
      </c>
      <c r="AK121">
        <v>2.4470679999999998</v>
      </c>
    </row>
    <row r="122" spans="1:37">
      <c r="A122" t="s">
        <v>20</v>
      </c>
      <c r="B122">
        <v>37.685714259999997</v>
      </c>
      <c r="C122">
        <v>0.99597877300000004</v>
      </c>
      <c r="D122">
        <v>2.6509917930000002</v>
      </c>
      <c r="E122">
        <v>1.6034756000000001E-2</v>
      </c>
      <c r="F122">
        <v>2.5368783270000002</v>
      </c>
      <c r="G122">
        <v>6.0734609999999996E-3</v>
      </c>
      <c r="H122">
        <v>-0.114113466</v>
      </c>
      <c r="I122">
        <v>1.3612587000000001E-2</v>
      </c>
      <c r="J122">
        <v>36.227196839999998</v>
      </c>
      <c r="K122">
        <v>37.754073339999998</v>
      </c>
      <c r="L122">
        <v>39.040216940000001</v>
      </c>
      <c r="M122">
        <v>37.721369920000001</v>
      </c>
      <c r="N122">
        <v>2.6251009949999999</v>
      </c>
      <c r="O122">
        <v>2.664977081</v>
      </c>
      <c r="P122">
        <v>2.6637143810000001</v>
      </c>
      <c r="Q122">
        <v>2.6501747139999998</v>
      </c>
      <c r="R122">
        <v>2.5345187299999998</v>
      </c>
      <c r="S122">
        <v>2.5442189000000002</v>
      </c>
      <c r="T122">
        <v>2.5405397060000001</v>
      </c>
      <c r="U122">
        <v>2.528235971</v>
      </c>
      <c r="V122">
        <v>-9.0582264999999995E-2</v>
      </c>
      <c r="W122">
        <v>-0.12075818100000001</v>
      </c>
      <c r="X122">
        <v>-0.123174675</v>
      </c>
      <c r="Y122">
        <v>-0.121938743</v>
      </c>
      <c r="Z122">
        <v>0</v>
      </c>
      <c r="AA122">
        <v>5</v>
      </c>
      <c r="AB122">
        <v>29</v>
      </c>
      <c r="AC122">
        <v>71</v>
      </c>
      <c r="AD122">
        <v>133</v>
      </c>
      <c r="AE122">
        <v>12</v>
      </c>
      <c r="AF122">
        <v>0</v>
      </c>
      <c r="AG122">
        <v>0.2</v>
      </c>
      <c r="AH122">
        <v>0.49764000000000003</v>
      </c>
      <c r="AI122">
        <v>1.1359999999999999</v>
      </c>
      <c r="AJ122">
        <v>0.116508</v>
      </c>
      <c r="AK122">
        <v>1.950148</v>
      </c>
    </row>
    <row r="123" spans="1:37">
      <c r="A123" t="s">
        <v>20</v>
      </c>
      <c r="B123">
        <v>36.154665090000002</v>
      </c>
      <c r="C123">
        <v>1.0357009580000001</v>
      </c>
      <c r="D123">
        <v>2.680234869</v>
      </c>
      <c r="E123">
        <v>6.1561230000000003E-3</v>
      </c>
      <c r="F123">
        <v>2.5485080670000002</v>
      </c>
      <c r="G123">
        <v>2.5366059999999998E-3</v>
      </c>
      <c r="H123">
        <v>-0.131726802</v>
      </c>
      <c r="I123">
        <v>4.1667780000000003E-3</v>
      </c>
      <c r="J123">
        <v>34.37028686</v>
      </c>
      <c r="K123">
        <v>36.608698279999999</v>
      </c>
      <c r="L123">
        <v>36.908282939999999</v>
      </c>
      <c r="M123">
        <v>36.73139226</v>
      </c>
      <c r="N123">
        <v>2.67973588</v>
      </c>
      <c r="O123">
        <v>2.6881266479999999</v>
      </c>
      <c r="P123">
        <v>2.6820943509999999</v>
      </c>
      <c r="Q123">
        <v>2.6709825949999999</v>
      </c>
      <c r="R123">
        <v>2.5504381729999999</v>
      </c>
      <c r="S123">
        <v>2.5502784900000002</v>
      </c>
      <c r="T123">
        <v>2.5491104359999999</v>
      </c>
      <c r="U123">
        <v>2.544205169</v>
      </c>
      <c r="V123">
        <v>-0.12929770700000001</v>
      </c>
      <c r="W123">
        <v>-0.137848158</v>
      </c>
      <c r="X123">
        <v>-0.13298391500000001</v>
      </c>
      <c r="Y123">
        <v>-0.126777426</v>
      </c>
      <c r="Z123">
        <v>0</v>
      </c>
      <c r="AA123">
        <v>12</v>
      </c>
      <c r="AB123">
        <v>26</v>
      </c>
      <c r="AC123">
        <v>18</v>
      </c>
      <c r="AD123">
        <v>164</v>
      </c>
      <c r="AE123">
        <v>30</v>
      </c>
      <c r="AF123">
        <v>0</v>
      </c>
      <c r="AG123">
        <v>0.48</v>
      </c>
      <c r="AH123">
        <v>0.44616</v>
      </c>
      <c r="AI123">
        <v>0.28799999999999998</v>
      </c>
      <c r="AJ123">
        <v>0.14366399999999999</v>
      </c>
      <c r="AK123">
        <v>1.3578239999999999</v>
      </c>
    </row>
    <row r="124" spans="1:37">
      <c r="A124" t="s">
        <v>20</v>
      </c>
      <c r="B124">
        <v>49.714522969999997</v>
      </c>
      <c r="C124">
        <v>0.64717862100000001</v>
      </c>
      <c r="D124">
        <v>2.0991845800000002</v>
      </c>
      <c r="E124">
        <v>1.9530190000000001E-3</v>
      </c>
      <c r="F124">
        <v>2.0852525590000002</v>
      </c>
      <c r="G124">
        <v>3.5265969999999998E-3</v>
      </c>
      <c r="H124">
        <v>-1.3932020999999999E-2</v>
      </c>
      <c r="I124">
        <v>1.854798E-3</v>
      </c>
      <c r="J124">
        <v>48.608411660000002</v>
      </c>
      <c r="K124">
        <v>50.084072640000002</v>
      </c>
      <c r="L124">
        <v>49.93439566</v>
      </c>
      <c r="M124">
        <v>50.231211930000001</v>
      </c>
      <c r="N124">
        <v>2.097468713</v>
      </c>
      <c r="O124">
        <v>2.1024203579999998</v>
      </c>
      <c r="P124">
        <v>2.0990109719999999</v>
      </c>
      <c r="Q124">
        <v>2.0978382779999998</v>
      </c>
      <c r="R124">
        <v>2.0804450989999999</v>
      </c>
      <c r="S124">
        <v>2.0903423440000002</v>
      </c>
      <c r="T124">
        <v>2.0856988080000001</v>
      </c>
      <c r="U124">
        <v>2.0845239860000002</v>
      </c>
      <c r="V124">
        <v>-1.7023613999999999E-2</v>
      </c>
      <c r="W124">
        <v>-1.2078014E-2</v>
      </c>
      <c r="X124">
        <v>-1.3312164E-2</v>
      </c>
      <c r="Y124">
        <v>-1.3314292E-2</v>
      </c>
      <c r="Z124">
        <v>63</v>
      </c>
      <c r="AA124">
        <v>22</v>
      </c>
      <c r="AB124">
        <v>40</v>
      </c>
      <c r="AC124">
        <v>51</v>
      </c>
      <c r="AD124">
        <v>49</v>
      </c>
      <c r="AE124">
        <v>25</v>
      </c>
      <c r="AF124">
        <v>3.78</v>
      </c>
      <c r="AG124">
        <v>0.88</v>
      </c>
      <c r="AH124">
        <v>0.68640000000000001</v>
      </c>
      <c r="AI124">
        <v>0.81599999999999995</v>
      </c>
      <c r="AJ124">
        <v>4.2923999999999997E-2</v>
      </c>
      <c r="AK124">
        <v>6.2053240000000001</v>
      </c>
    </row>
    <row r="125" spans="1:37">
      <c r="A125" t="s">
        <v>20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60</v>
      </c>
      <c r="AA125">
        <v>55</v>
      </c>
      <c r="AB125">
        <v>0</v>
      </c>
      <c r="AC125">
        <v>114</v>
      </c>
      <c r="AD125">
        <v>15</v>
      </c>
      <c r="AE125">
        <v>6</v>
      </c>
      <c r="AF125">
        <v>3.6</v>
      </c>
      <c r="AG125">
        <v>2.2000000000000002</v>
      </c>
      <c r="AH125">
        <v>0</v>
      </c>
      <c r="AI125">
        <v>1.8240000000000001</v>
      </c>
      <c r="AJ125">
        <v>1.3140000000000001E-2</v>
      </c>
      <c r="AK125">
        <v>7.6371399999999996</v>
      </c>
    </row>
    <row r="126" spans="1:37">
      <c r="A126" t="s">
        <v>20</v>
      </c>
      <c r="B126">
        <v>89.009811889999995</v>
      </c>
      <c r="C126">
        <v>3.4514269</v>
      </c>
      <c r="D126">
        <v>2.0993925870000001</v>
      </c>
      <c r="E126">
        <v>1.0543645000000001E-2</v>
      </c>
      <c r="F126">
        <v>2.1093556609999999</v>
      </c>
      <c r="G126">
        <v>1.0567594E-2</v>
      </c>
      <c r="H126">
        <v>9.9630729999999994E-3</v>
      </c>
      <c r="I126" s="5" t="s">
        <v>72</v>
      </c>
      <c r="J126">
        <v>93.887455130000006</v>
      </c>
      <c r="K126">
        <v>88.405059769999994</v>
      </c>
      <c r="L126">
        <v>86.729005430000001</v>
      </c>
      <c r="M126">
        <v>86.412975110000005</v>
      </c>
      <c r="N126">
        <v>2.1141761880000001</v>
      </c>
      <c r="O126">
        <v>1.4306971239999999</v>
      </c>
      <c r="P126">
        <v>2.0936849870000001</v>
      </c>
      <c r="Q126">
        <v>2.0903165869999998</v>
      </c>
      <c r="R126">
        <v>2.1241748349999998</v>
      </c>
      <c r="S126">
        <v>1.4419616420000001</v>
      </c>
      <c r="T126">
        <v>2.1036209179999998</v>
      </c>
      <c r="U126">
        <v>2.1002712290000001</v>
      </c>
      <c r="V126">
        <v>9.9986469999999994E-3</v>
      </c>
      <c r="W126">
        <v>1.1264517999999999E-2</v>
      </c>
      <c r="X126">
        <v>9.9359310000000003E-3</v>
      </c>
      <c r="Y126">
        <v>9.9546419999999997E-3</v>
      </c>
      <c r="Z126">
        <v>12</v>
      </c>
      <c r="AA126">
        <v>119</v>
      </c>
      <c r="AB126">
        <v>10</v>
      </c>
      <c r="AC126">
        <v>17</v>
      </c>
      <c r="AD126">
        <v>50</v>
      </c>
      <c r="AE126">
        <v>42</v>
      </c>
      <c r="AF126">
        <v>0.72</v>
      </c>
      <c r="AG126">
        <v>4.76</v>
      </c>
      <c r="AH126">
        <v>0.1716</v>
      </c>
      <c r="AI126">
        <v>0.27200000000000002</v>
      </c>
      <c r="AJ126">
        <v>4.3799999999999999E-2</v>
      </c>
      <c r="AK126">
        <v>5.9673999999999996</v>
      </c>
    </row>
    <row r="127" spans="1:37">
      <c r="A127" t="s">
        <v>20</v>
      </c>
      <c r="B127">
        <v>24.365796469999999</v>
      </c>
      <c r="C127">
        <v>1.6888091000000001</v>
      </c>
      <c r="D127">
        <v>2.662428544</v>
      </c>
      <c r="E127">
        <v>1.4223652E-2</v>
      </c>
      <c r="F127">
        <v>2.542625981</v>
      </c>
      <c r="G127">
        <v>8.3512640000000006E-3</v>
      </c>
      <c r="H127">
        <v>-0.119802563</v>
      </c>
      <c r="I127">
        <v>7.6884140000000002E-3</v>
      </c>
      <c r="J127">
        <v>25.56242495</v>
      </c>
      <c r="K127">
        <v>25.55750304</v>
      </c>
      <c r="L127">
        <v>21.977461430000002</v>
      </c>
      <c r="M127">
        <v>31.65317039</v>
      </c>
      <c r="N127">
        <v>2.6562893619999999</v>
      </c>
      <c r="O127">
        <v>2.6820873249999999</v>
      </c>
      <c r="P127">
        <v>2.648908944</v>
      </c>
      <c r="Q127">
        <v>2.6354126369999999</v>
      </c>
      <c r="R127">
        <v>2.5344085199999999</v>
      </c>
      <c r="S127">
        <v>2.5540811680000002</v>
      </c>
      <c r="T127">
        <v>2.5393882539999999</v>
      </c>
      <c r="U127">
        <v>2.5307875979999999</v>
      </c>
      <c r="V127">
        <v>-0.121880842</v>
      </c>
      <c r="W127">
        <v>-0.12800615700000001</v>
      </c>
      <c r="X127">
        <v>-0.10952069</v>
      </c>
      <c r="Y127">
        <v>-0.104625039</v>
      </c>
      <c r="Z127">
        <v>0</v>
      </c>
      <c r="AA127">
        <v>10</v>
      </c>
      <c r="AB127">
        <v>20</v>
      </c>
      <c r="AC127">
        <v>17</v>
      </c>
      <c r="AD127">
        <v>92</v>
      </c>
      <c r="AE127">
        <v>111</v>
      </c>
      <c r="AF127">
        <v>0</v>
      </c>
      <c r="AG127">
        <v>0.4</v>
      </c>
      <c r="AH127">
        <v>0.34320000000000001</v>
      </c>
      <c r="AI127">
        <v>0.27200000000000002</v>
      </c>
      <c r="AJ127">
        <v>8.0591999999999997E-2</v>
      </c>
      <c r="AK127">
        <v>1.0957920000000001</v>
      </c>
    </row>
    <row r="128" spans="1:37">
      <c r="A128" t="s">
        <v>20</v>
      </c>
      <c r="B128">
        <v>72.884762219999999</v>
      </c>
      <c r="C128">
        <v>4.810817514</v>
      </c>
      <c r="D128">
        <v>2.63559096</v>
      </c>
      <c r="E128">
        <v>3.1908150000000001E-3</v>
      </c>
      <c r="F128">
        <v>2.5634872560000002</v>
      </c>
      <c r="G128">
        <v>8.9334170000000008E-3</v>
      </c>
      <c r="H128">
        <v>-7.2103704000000005E-2</v>
      </c>
      <c r="I128">
        <v>8.377509E-3</v>
      </c>
      <c r="J128">
        <v>64.809541949999996</v>
      </c>
      <c r="K128">
        <v>77.315774590000004</v>
      </c>
      <c r="L128">
        <v>75.446015000000003</v>
      </c>
      <c r="M128">
        <v>73.967717329999999</v>
      </c>
      <c r="N128">
        <v>2.6309639850000002</v>
      </c>
      <c r="O128">
        <v>2.6395282020000002</v>
      </c>
      <c r="P128">
        <v>2.6345985590000001</v>
      </c>
      <c r="Q128">
        <v>2.6372730940000002</v>
      </c>
      <c r="R128">
        <v>2.5542307860000002</v>
      </c>
      <c r="S128">
        <v>2.56906597</v>
      </c>
      <c r="T128">
        <v>2.5752169519999999</v>
      </c>
      <c r="U128">
        <v>2.5554353160000001</v>
      </c>
      <c r="V128">
        <v>-7.6733199000000002E-2</v>
      </c>
      <c r="W128">
        <v>-7.0462232E-2</v>
      </c>
      <c r="X128">
        <v>-5.9381607000000003E-2</v>
      </c>
      <c r="Y128">
        <v>-8.1837778E-2</v>
      </c>
      <c r="Z128">
        <v>0</v>
      </c>
      <c r="AA128">
        <v>9</v>
      </c>
      <c r="AB128">
        <v>76</v>
      </c>
      <c r="AC128">
        <v>8</v>
      </c>
      <c r="AD128">
        <v>6</v>
      </c>
      <c r="AE128">
        <v>151</v>
      </c>
      <c r="AF128">
        <v>0</v>
      </c>
      <c r="AG128">
        <v>0.36</v>
      </c>
      <c r="AH128">
        <v>1.30416</v>
      </c>
      <c r="AI128">
        <v>0.128</v>
      </c>
      <c r="AJ128">
        <v>5.2560000000000003E-3</v>
      </c>
      <c r="AK128">
        <v>1.7974159999999999</v>
      </c>
    </row>
    <row r="129" spans="1:37">
      <c r="A129" t="s">
        <v>20</v>
      </c>
      <c r="B129">
        <v>47.687145530000002</v>
      </c>
      <c r="C129">
        <v>0.63815218200000001</v>
      </c>
      <c r="D129">
        <v>2.145100443</v>
      </c>
      <c r="E129">
        <v>5.1550399999999996E-4</v>
      </c>
      <c r="F129">
        <v>2.1046436009999998</v>
      </c>
      <c r="G129">
        <v>5.3437299999999999E-4</v>
      </c>
      <c r="H129">
        <v>-4.0456842E-2</v>
      </c>
      <c r="I129" s="5" t="s">
        <v>73</v>
      </c>
      <c r="J129">
        <v>47.3647858</v>
      </c>
      <c r="K129">
        <v>48.57680397</v>
      </c>
      <c r="L129">
        <v>47.373610679999999</v>
      </c>
      <c r="M129">
        <v>47.111021950000001</v>
      </c>
      <c r="N129">
        <v>1.569330906</v>
      </c>
      <c r="O129">
        <v>2.1452998989999998</v>
      </c>
      <c r="P129">
        <v>2.1443934429999998</v>
      </c>
      <c r="Q129">
        <v>2.145607987</v>
      </c>
      <c r="R129">
        <v>1.528931378</v>
      </c>
      <c r="S129">
        <v>2.1048654249999998</v>
      </c>
      <c r="T129">
        <v>2.1039070479999999</v>
      </c>
      <c r="U129">
        <v>2.1051583300000001</v>
      </c>
      <c r="V129">
        <v>-4.0399527999999997E-2</v>
      </c>
      <c r="W129">
        <v>-4.0434473999999998E-2</v>
      </c>
      <c r="X129">
        <v>-4.0486395000000001E-2</v>
      </c>
      <c r="Y129">
        <v>-4.0449657E-2</v>
      </c>
      <c r="Z129">
        <v>9</v>
      </c>
      <c r="AA129">
        <v>0</v>
      </c>
      <c r="AB129">
        <v>44</v>
      </c>
      <c r="AC129">
        <v>63</v>
      </c>
      <c r="AD129">
        <v>89</v>
      </c>
      <c r="AE129">
        <v>45</v>
      </c>
      <c r="AF129">
        <v>0.54</v>
      </c>
      <c r="AG129">
        <v>0</v>
      </c>
      <c r="AH129">
        <v>0.75504000000000004</v>
      </c>
      <c r="AI129">
        <v>1.008</v>
      </c>
      <c r="AJ129">
        <v>7.7964000000000006E-2</v>
      </c>
      <c r="AK129">
        <v>2.3810039999999999</v>
      </c>
    </row>
    <row r="130" spans="1:37">
      <c r="A130" t="s">
        <v>20</v>
      </c>
      <c r="B130">
        <v>23.527403360000001</v>
      </c>
      <c r="C130">
        <v>1.0902441329999999</v>
      </c>
      <c r="D130">
        <v>2.0133599009999998</v>
      </c>
      <c r="E130">
        <v>1.0285707999999999E-2</v>
      </c>
      <c r="F130">
        <v>2.032762564</v>
      </c>
      <c r="G130">
        <v>1.0827589E-2</v>
      </c>
      <c r="H130">
        <v>1.9402663000000001E-2</v>
      </c>
      <c r="I130">
        <v>2.934954E-3</v>
      </c>
      <c r="J130">
        <v>21.79870064</v>
      </c>
      <c r="K130">
        <v>23.645715599999999</v>
      </c>
      <c r="L130">
        <v>23.855398749999999</v>
      </c>
      <c r="M130">
        <v>24.80979847</v>
      </c>
      <c r="N130">
        <v>2.0305485000000001</v>
      </c>
      <c r="O130">
        <v>2.0032156990000001</v>
      </c>
      <c r="P130">
        <v>2.00974115</v>
      </c>
      <c r="Q130">
        <v>2.0099342550000001</v>
      </c>
      <c r="R130">
        <v>2.0515069979999998</v>
      </c>
      <c r="S130">
        <v>2.0266137409999998</v>
      </c>
      <c r="T130">
        <v>2.0269444710000002</v>
      </c>
      <c r="U130">
        <v>2.0259850469999998</v>
      </c>
      <c r="V130">
        <v>2.0958497999999999E-2</v>
      </c>
      <c r="W130">
        <v>2.3398042000000001E-2</v>
      </c>
      <c r="X130">
        <v>1.7203321000000001E-2</v>
      </c>
      <c r="Y130">
        <v>1.6050792000000001E-2</v>
      </c>
      <c r="Z130">
        <v>176</v>
      </c>
      <c r="AA130">
        <v>53</v>
      </c>
      <c r="AB130">
        <v>13</v>
      </c>
      <c r="AC130">
        <v>0</v>
      </c>
      <c r="AD130">
        <v>0</v>
      </c>
      <c r="AE130">
        <v>8</v>
      </c>
      <c r="AF130">
        <v>10.56</v>
      </c>
      <c r="AG130">
        <v>2.12</v>
      </c>
      <c r="AH130">
        <v>0.22308</v>
      </c>
      <c r="AI130">
        <v>0</v>
      </c>
      <c r="AJ130">
        <v>0</v>
      </c>
      <c r="AK130">
        <v>12.903079999999999</v>
      </c>
    </row>
    <row r="131" spans="1:37">
      <c r="A131" t="s">
        <v>20</v>
      </c>
      <c r="B131">
        <v>42.063524080000001</v>
      </c>
      <c r="C131">
        <v>4.1956703659999999</v>
      </c>
      <c r="D131">
        <v>2.3310288510000001</v>
      </c>
      <c r="E131">
        <v>0.173089311</v>
      </c>
      <c r="F131">
        <v>2.2569099659999998</v>
      </c>
      <c r="G131">
        <v>0.163989837</v>
      </c>
      <c r="H131">
        <v>-7.4118884999999995E-2</v>
      </c>
      <c r="I131">
        <v>1.164366E-2</v>
      </c>
      <c r="J131">
        <v>34.803203269999997</v>
      </c>
      <c r="K131">
        <v>44.630847189999997</v>
      </c>
      <c r="L131">
        <v>44.187447810000002</v>
      </c>
      <c r="M131">
        <v>44.632598049999999</v>
      </c>
      <c r="N131">
        <v>2.6275536210000001</v>
      </c>
      <c r="O131">
        <v>2.273532603</v>
      </c>
      <c r="P131">
        <v>2.2159622570000002</v>
      </c>
      <c r="Q131">
        <v>2.2070669249999999</v>
      </c>
      <c r="R131">
        <v>2.539387209</v>
      </c>
      <c r="S131">
        <v>2.1906481549999999</v>
      </c>
      <c r="T131">
        <v>2.1512608659999999</v>
      </c>
      <c r="U131">
        <v>2.146343635</v>
      </c>
      <c r="V131">
        <v>-8.8166412E-2</v>
      </c>
      <c r="W131">
        <v>-8.2884447999999999E-2</v>
      </c>
      <c r="X131">
        <v>-6.4701390999999997E-2</v>
      </c>
      <c r="Y131">
        <v>-6.0723289999999999E-2</v>
      </c>
      <c r="Z131">
        <v>6</v>
      </c>
      <c r="AA131">
        <v>0</v>
      </c>
      <c r="AB131">
        <v>21</v>
      </c>
      <c r="AC131">
        <v>27</v>
      </c>
      <c r="AD131">
        <v>9</v>
      </c>
      <c r="AE131">
        <v>187</v>
      </c>
      <c r="AF131">
        <v>0.36</v>
      </c>
      <c r="AG131">
        <v>0</v>
      </c>
      <c r="AH131">
        <v>0.36036000000000001</v>
      </c>
      <c r="AI131">
        <v>0.432</v>
      </c>
      <c r="AJ131">
        <v>7.8840000000000004E-3</v>
      </c>
      <c r="AK131">
        <v>1.1602440000000001</v>
      </c>
    </row>
    <row r="132" spans="1:37">
      <c r="A132" t="s">
        <v>20</v>
      </c>
      <c r="B132">
        <v>94.125289350000003</v>
      </c>
      <c r="C132">
        <v>8.3279494229999997</v>
      </c>
      <c r="D132">
        <v>1.8907631140000001</v>
      </c>
      <c r="E132">
        <v>0.23173870399999999</v>
      </c>
      <c r="F132">
        <v>1.903974536</v>
      </c>
      <c r="G132">
        <v>0.233167971</v>
      </c>
      <c r="H132">
        <v>1.3211422E-2</v>
      </c>
      <c r="I132">
        <v>1.506163E-3</v>
      </c>
      <c r="J132">
        <v>82.666601799999995</v>
      </c>
      <c r="K132">
        <v>122.7966179</v>
      </c>
      <c r="L132">
        <v>102.2117441</v>
      </c>
      <c r="M132">
        <v>97.497522140000001</v>
      </c>
      <c r="N132">
        <v>1.5630421480000001</v>
      </c>
      <c r="O132">
        <v>2.061367079</v>
      </c>
      <c r="P132">
        <v>2.0564854889999999</v>
      </c>
      <c r="Q132">
        <v>2.0527617039999999</v>
      </c>
      <c r="R132">
        <v>1.5742374349999999</v>
      </c>
      <c r="S132">
        <v>2.0860796869999998</v>
      </c>
      <c r="T132">
        <v>2.0713001169999998</v>
      </c>
      <c r="U132">
        <v>2.0663860559999998</v>
      </c>
      <c r="V132">
        <v>1.1195287E-2</v>
      </c>
      <c r="W132">
        <v>2.4712608E-2</v>
      </c>
      <c r="X132">
        <v>1.4814628E-2</v>
      </c>
      <c r="Y132">
        <v>1.3624351999999999E-2</v>
      </c>
      <c r="Z132">
        <v>11</v>
      </c>
      <c r="AA132">
        <v>184</v>
      </c>
      <c r="AB132">
        <v>39</v>
      </c>
      <c r="AC132">
        <v>0</v>
      </c>
      <c r="AD132">
        <v>13</v>
      </c>
      <c r="AE132">
        <v>3</v>
      </c>
      <c r="AF132">
        <v>0.66</v>
      </c>
      <c r="AG132">
        <v>7.36</v>
      </c>
      <c r="AH132">
        <v>0.66923999999999995</v>
      </c>
      <c r="AI132">
        <v>0</v>
      </c>
      <c r="AJ132">
        <v>1.1388000000000001E-2</v>
      </c>
      <c r="AK132">
        <v>8.700628</v>
      </c>
    </row>
    <row r="133" spans="1:37">
      <c r="A133" t="s">
        <v>20</v>
      </c>
      <c r="B133">
        <v>52.114124060000002</v>
      </c>
      <c r="C133">
        <v>3.6916376089999998</v>
      </c>
      <c r="D133">
        <v>2.071470653</v>
      </c>
      <c r="E133">
        <v>5.0912479999999996E-3</v>
      </c>
      <c r="F133">
        <v>2.0829642810000002</v>
      </c>
      <c r="G133">
        <v>5.2407440000000003E-3</v>
      </c>
      <c r="H133">
        <v>1.1493628000000001E-2</v>
      </c>
      <c r="I133">
        <v>1.1248619999999999E-3</v>
      </c>
      <c r="J133">
        <v>51.371628180000002</v>
      </c>
      <c r="K133">
        <v>47.545561139999997</v>
      </c>
      <c r="L133">
        <v>56.960727550000001</v>
      </c>
      <c r="M133">
        <v>48.010016460000003</v>
      </c>
      <c r="N133">
        <v>2.0653752110000001</v>
      </c>
      <c r="O133">
        <v>1.4950589780000001</v>
      </c>
      <c r="P133">
        <v>2.07783732</v>
      </c>
      <c r="Q133">
        <v>2.0711994269999998</v>
      </c>
      <c r="R133">
        <v>2.07768248</v>
      </c>
      <c r="S133">
        <v>1.507389243</v>
      </c>
      <c r="T133">
        <v>2.0901079619999998</v>
      </c>
      <c r="U133">
        <v>2.0811024009999999</v>
      </c>
      <c r="V133">
        <v>1.2307268999999999E-2</v>
      </c>
      <c r="W133">
        <v>1.2330265E-2</v>
      </c>
      <c r="X133">
        <v>1.2270642E-2</v>
      </c>
      <c r="Y133">
        <v>9.9029740000000002E-3</v>
      </c>
      <c r="Z133">
        <v>79</v>
      </c>
      <c r="AA133">
        <v>34</v>
      </c>
      <c r="AB133">
        <v>22</v>
      </c>
      <c r="AC133">
        <v>48</v>
      </c>
      <c r="AD133">
        <v>60</v>
      </c>
      <c r="AE133">
        <v>7</v>
      </c>
      <c r="AF133">
        <v>4.74</v>
      </c>
      <c r="AG133">
        <v>1.36</v>
      </c>
      <c r="AH133">
        <v>0.37752000000000002</v>
      </c>
      <c r="AI133">
        <v>0.76800000000000002</v>
      </c>
      <c r="AJ133">
        <v>5.2560000000000003E-2</v>
      </c>
      <c r="AK133">
        <v>7.2980799999999997</v>
      </c>
    </row>
    <row r="134" spans="1:37">
      <c r="A134" t="s">
        <v>20</v>
      </c>
      <c r="B134">
        <v>61.793019860000001</v>
      </c>
      <c r="C134">
        <v>2.9317827849999998</v>
      </c>
      <c r="D134">
        <v>2.7627021790000001</v>
      </c>
      <c r="E134">
        <v>0.11828785</v>
      </c>
      <c r="F134">
        <v>2.743617382</v>
      </c>
      <c r="G134">
        <v>0.11976152499999999</v>
      </c>
      <c r="H134">
        <v>-1.9084798E-2</v>
      </c>
      <c r="I134">
        <v>1.513962E-3</v>
      </c>
      <c r="J134">
        <v>0</v>
      </c>
      <c r="K134">
        <v>57.650379030000003</v>
      </c>
      <c r="L134">
        <v>64.012396480000007</v>
      </c>
      <c r="M134">
        <v>63.716284080000001</v>
      </c>
      <c r="N134">
        <v>0</v>
      </c>
      <c r="O134">
        <v>2.9299745210000001</v>
      </c>
      <c r="P134">
        <v>2.6773351509999999</v>
      </c>
      <c r="Q134">
        <v>2.6807968660000001</v>
      </c>
      <c r="R134">
        <v>0</v>
      </c>
      <c r="S134">
        <v>2.9129670490000001</v>
      </c>
      <c r="T134">
        <v>2.6567626240000002</v>
      </c>
      <c r="U134">
        <v>2.6611224720000002</v>
      </c>
      <c r="V134">
        <v>0</v>
      </c>
      <c r="W134">
        <v>-1.7007471999999999E-2</v>
      </c>
      <c r="X134">
        <v>-2.0572527E-2</v>
      </c>
      <c r="Y134">
        <v>-1.9674394000000001E-2</v>
      </c>
      <c r="Z134">
        <v>14</v>
      </c>
      <c r="AA134">
        <v>81</v>
      </c>
      <c r="AB134">
        <v>30</v>
      </c>
      <c r="AC134">
        <v>118</v>
      </c>
      <c r="AD134">
        <v>7</v>
      </c>
      <c r="AE134">
        <v>0</v>
      </c>
      <c r="AF134">
        <v>0.84</v>
      </c>
      <c r="AG134">
        <v>3.24</v>
      </c>
      <c r="AH134">
        <v>0.51480000000000004</v>
      </c>
      <c r="AI134">
        <v>1.8879999999999999</v>
      </c>
      <c r="AJ134">
        <v>6.1320000000000003E-3</v>
      </c>
      <c r="AK134">
        <v>6.4889320000000001</v>
      </c>
    </row>
    <row r="135" spans="1:37">
      <c r="A135" t="s">
        <v>20</v>
      </c>
      <c r="B135">
        <v>63.452301089999999</v>
      </c>
      <c r="C135">
        <v>2.6992044719999999</v>
      </c>
      <c r="D135">
        <v>2.0825062829999998</v>
      </c>
      <c r="E135">
        <v>1.5613452E-2</v>
      </c>
      <c r="F135">
        <v>2.0923828800000002</v>
      </c>
      <c r="G135">
        <v>1.5614574000000001E-2</v>
      </c>
      <c r="H135">
        <v>9.8765980000000003E-3</v>
      </c>
      <c r="I135" s="5" t="s">
        <v>74</v>
      </c>
      <c r="J135">
        <v>59.037385530000002</v>
      </c>
      <c r="K135">
        <v>63.583301679999998</v>
      </c>
      <c r="L135">
        <v>65.115606909999997</v>
      </c>
      <c r="M135">
        <v>66.072910239999999</v>
      </c>
      <c r="N135">
        <v>2.0555894029999999</v>
      </c>
      <c r="O135">
        <v>2.0912127570000001</v>
      </c>
      <c r="P135">
        <v>2.0894914600000001</v>
      </c>
      <c r="Q135">
        <v>2.0937315110000001</v>
      </c>
      <c r="R135">
        <v>2.0654653619999999</v>
      </c>
      <c r="S135">
        <v>2.1010913649999998</v>
      </c>
      <c r="T135">
        <v>2.099356121</v>
      </c>
      <c r="U135">
        <v>2.1036186739999998</v>
      </c>
      <c r="V135">
        <v>9.8759590000000001E-3</v>
      </c>
      <c r="W135">
        <v>9.8786080000000005E-3</v>
      </c>
      <c r="X135">
        <v>9.8646610000000003E-3</v>
      </c>
      <c r="Y135">
        <v>9.8871629999999992E-3</v>
      </c>
      <c r="Z135">
        <v>80</v>
      </c>
      <c r="AA135">
        <v>16</v>
      </c>
      <c r="AB135">
        <v>21</v>
      </c>
      <c r="AC135">
        <v>24</v>
      </c>
      <c r="AD135">
        <v>96</v>
      </c>
      <c r="AE135">
        <v>13</v>
      </c>
      <c r="AF135">
        <v>4.8</v>
      </c>
      <c r="AG135">
        <v>0.64</v>
      </c>
      <c r="AH135">
        <v>0.36036000000000001</v>
      </c>
      <c r="AI135">
        <v>0.38400000000000001</v>
      </c>
      <c r="AJ135">
        <v>8.4096000000000004E-2</v>
      </c>
      <c r="AK135">
        <v>6.2684559999999996</v>
      </c>
    </row>
    <row r="136" spans="1:37">
      <c r="A136" t="s">
        <v>20</v>
      </c>
      <c r="B136">
        <v>53.624759619999999</v>
      </c>
      <c r="C136">
        <v>0.64897241000000006</v>
      </c>
      <c r="D136">
        <v>2.1383402770000002</v>
      </c>
      <c r="E136">
        <v>1.801329E-3</v>
      </c>
      <c r="F136">
        <v>2.1109042059999998</v>
      </c>
      <c r="G136">
        <v>4.2605960000000002E-3</v>
      </c>
      <c r="H136">
        <v>-2.7436070999999999E-2</v>
      </c>
      <c r="I136">
        <v>2.5286340000000001E-3</v>
      </c>
      <c r="J136">
        <v>52.516644749999998</v>
      </c>
      <c r="K136">
        <v>54.109647799999998</v>
      </c>
      <c r="L136">
        <v>54.053462439999997</v>
      </c>
      <c r="M136">
        <v>53.819283489999997</v>
      </c>
      <c r="N136">
        <v>2.1356771960000001</v>
      </c>
      <c r="O136">
        <v>2.1377337820000002</v>
      </c>
      <c r="P136">
        <v>2.139679895</v>
      </c>
      <c r="Q136">
        <v>2.1402702339999999</v>
      </c>
      <c r="R136">
        <v>2.1039402530000002</v>
      </c>
      <c r="S136">
        <v>2.1109515089999999</v>
      </c>
      <c r="T136">
        <v>2.1140528449999998</v>
      </c>
      <c r="U136">
        <v>2.1146722179999999</v>
      </c>
      <c r="V136">
        <v>-3.1736942999999997E-2</v>
      </c>
      <c r="W136">
        <v>-2.6782272999999999E-2</v>
      </c>
      <c r="X136">
        <v>-2.5627049999999998E-2</v>
      </c>
      <c r="Y136">
        <v>-2.5598016000000001E-2</v>
      </c>
      <c r="Z136">
        <v>17</v>
      </c>
      <c r="AA136">
        <v>41</v>
      </c>
      <c r="AB136">
        <v>6</v>
      </c>
      <c r="AC136">
        <v>41</v>
      </c>
      <c r="AD136">
        <v>118</v>
      </c>
      <c r="AE136">
        <v>27</v>
      </c>
      <c r="AF136">
        <v>1.02</v>
      </c>
      <c r="AG136">
        <v>1.64</v>
      </c>
      <c r="AH136">
        <v>0.10296</v>
      </c>
      <c r="AI136">
        <v>0.65600000000000003</v>
      </c>
      <c r="AJ136">
        <v>0.103368</v>
      </c>
      <c r="AK136">
        <v>3.5223279999999999</v>
      </c>
    </row>
    <row r="137" spans="1:37">
      <c r="A137" t="s">
        <v>20</v>
      </c>
      <c r="B137">
        <v>67.689566769999999</v>
      </c>
      <c r="C137">
        <v>1.244552493</v>
      </c>
      <c r="D137">
        <v>2.0545953730000002</v>
      </c>
      <c r="E137">
        <v>2.3241080000000001E-3</v>
      </c>
      <c r="F137">
        <v>2.0644531079999999</v>
      </c>
      <c r="G137">
        <v>2.3310560000000002E-3</v>
      </c>
      <c r="H137">
        <v>9.8577339999999999E-3</v>
      </c>
      <c r="I137" s="5" t="s">
        <v>75</v>
      </c>
      <c r="J137">
        <v>67.363400920000004</v>
      </c>
      <c r="K137">
        <v>65.789346300000005</v>
      </c>
      <c r="L137">
        <v>68.806198839999993</v>
      </c>
      <c r="M137">
        <v>68.799321000000006</v>
      </c>
      <c r="N137">
        <v>2.0506905469999999</v>
      </c>
      <c r="O137">
        <v>2.0549919189999999</v>
      </c>
      <c r="P137">
        <v>2.0561962579999999</v>
      </c>
      <c r="Q137">
        <v>2.0565027699999998</v>
      </c>
      <c r="R137">
        <v>2.06054402</v>
      </c>
      <c r="S137">
        <v>2.064823332</v>
      </c>
      <c r="T137">
        <v>2.0660560010000002</v>
      </c>
      <c r="U137">
        <v>2.0663890779999998</v>
      </c>
      <c r="V137">
        <v>9.8534729999999997E-3</v>
      </c>
      <c r="W137">
        <v>9.8314130000000007E-3</v>
      </c>
      <c r="X137">
        <v>9.8597430000000007E-3</v>
      </c>
      <c r="Y137">
        <v>9.8863079999999999E-3</v>
      </c>
      <c r="Z137">
        <v>34</v>
      </c>
      <c r="AA137">
        <v>16</v>
      </c>
      <c r="AB137">
        <v>154</v>
      </c>
      <c r="AC137">
        <v>0</v>
      </c>
      <c r="AD137">
        <v>15</v>
      </c>
      <c r="AE137">
        <v>31</v>
      </c>
      <c r="AF137">
        <v>2.04</v>
      </c>
      <c r="AG137">
        <v>0.64</v>
      </c>
      <c r="AH137">
        <v>2.6426400000000001</v>
      </c>
      <c r="AI137">
        <v>0</v>
      </c>
      <c r="AJ137">
        <v>1.3140000000000001E-2</v>
      </c>
      <c r="AK137">
        <v>5.3357799999999997</v>
      </c>
    </row>
    <row r="138" spans="1:37">
      <c r="A138" t="s">
        <v>20</v>
      </c>
      <c r="B138">
        <v>35.688917400000001</v>
      </c>
      <c r="C138">
        <v>0.462767182</v>
      </c>
      <c r="D138">
        <v>2.657202238</v>
      </c>
      <c r="E138">
        <v>3.1588039999999999E-3</v>
      </c>
      <c r="F138">
        <v>2.53988082</v>
      </c>
      <c r="G138">
        <v>4.0008869999999998E-3</v>
      </c>
      <c r="H138">
        <v>-0.117321418</v>
      </c>
      <c r="I138">
        <v>2.796387E-3</v>
      </c>
      <c r="J138">
        <v>35.04293594</v>
      </c>
      <c r="K138">
        <v>36.333415860000002</v>
      </c>
      <c r="L138">
        <v>35.5802458</v>
      </c>
      <c r="M138">
        <v>35.799071980000001</v>
      </c>
      <c r="N138">
        <v>2.6561015069999998</v>
      </c>
      <c r="O138">
        <v>2.656347448</v>
      </c>
      <c r="P138">
        <v>2.6539339480000002</v>
      </c>
      <c r="Q138">
        <v>2.6624260469999999</v>
      </c>
      <c r="R138">
        <v>2.5341726869999999</v>
      </c>
      <c r="S138">
        <v>2.5405544799999999</v>
      </c>
      <c r="T138">
        <v>2.5393716039999998</v>
      </c>
      <c r="U138">
        <v>2.545424508</v>
      </c>
      <c r="V138">
        <v>-0.12192881999999999</v>
      </c>
      <c r="W138">
        <v>-0.115792968</v>
      </c>
      <c r="X138">
        <v>-0.114562344</v>
      </c>
      <c r="Y138">
        <v>-0.117001539</v>
      </c>
      <c r="Z138">
        <v>0</v>
      </c>
      <c r="AA138">
        <v>0</v>
      </c>
      <c r="AB138">
        <v>31</v>
      </c>
      <c r="AC138">
        <v>49</v>
      </c>
      <c r="AD138">
        <v>158</v>
      </c>
      <c r="AE138">
        <v>12</v>
      </c>
      <c r="AF138">
        <v>0</v>
      </c>
      <c r="AG138">
        <v>0</v>
      </c>
      <c r="AH138">
        <v>0.53195999999999999</v>
      </c>
      <c r="AI138">
        <v>0.78400000000000003</v>
      </c>
      <c r="AJ138">
        <v>0.138408</v>
      </c>
      <c r="AK138">
        <v>1.4543680000000001</v>
      </c>
    </row>
    <row r="139" spans="1:37">
      <c r="A139" t="s">
        <v>20</v>
      </c>
      <c r="B139">
        <v>43.360783040000001</v>
      </c>
      <c r="C139">
        <v>1.3543219470000001</v>
      </c>
      <c r="D139">
        <v>2.0525960859999999</v>
      </c>
      <c r="E139">
        <v>2.7835859999999998E-3</v>
      </c>
      <c r="F139">
        <v>2.0624531419999999</v>
      </c>
      <c r="G139">
        <v>2.7907539999999999E-3</v>
      </c>
      <c r="H139">
        <v>9.857055E-3</v>
      </c>
      <c r="I139" s="5" t="s">
        <v>76</v>
      </c>
      <c r="J139">
        <v>45.253920860000001</v>
      </c>
      <c r="K139">
        <v>44.03325135</v>
      </c>
      <c r="L139">
        <v>42.009423849999997</v>
      </c>
      <c r="M139">
        <v>42.146536089999998</v>
      </c>
      <c r="N139">
        <v>2.0558362090000002</v>
      </c>
      <c r="O139">
        <v>2.0548790509999999</v>
      </c>
      <c r="P139">
        <v>2.0497103769999998</v>
      </c>
      <c r="Q139">
        <v>2.0499587080000001</v>
      </c>
      <c r="R139">
        <v>2.0656892619999998</v>
      </c>
      <c r="S139">
        <v>2.0647557980000002</v>
      </c>
      <c r="T139">
        <v>2.0595432300000001</v>
      </c>
      <c r="U139">
        <v>2.0598242760000001</v>
      </c>
      <c r="V139">
        <v>9.8530530000000005E-3</v>
      </c>
      <c r="W139">
        <v>9.876747E-3</v>
      </c>
      <c r="X139">
        <v>9.8328530000000008E-3</v>
      </c>
      <c r="Y139">
        <v>9.8655679999999999E-3</v>
      </c>
      <c r="Z139">
        <v>95</v>
      </c>
      <c r="AA139">
        <v>12</v>
      </c>
      <c r="AB139">
        <v>37</v>
      </c>
      <c r="AC139">
        <v>43</v>
      </c>
      <c r="AD139">
        <v>0</v>
      </c>
      <c r="AE139">
        <v>63</v>
      </c>
      <c r="AF139">
        <v>5.7</v>
      </c>
      <c r="AG139">
        <v>0.48</v>
      </c>
      <c r="AH139">
        <v>0.63492000000000004</v>
      </c>
      <c r="AI139">
        <v>0.68799999999999994</v>
      </c>
      <c r="AJ139">
        <v>0</v>
      </c>
      <c r="AK139">
        <v>7.5029199999999996</v>
      </c>
    </row>
    <row r="140" spans="1:37">
      <c r="A140" t="s">
        <v>20</v>
      </c>
      <c r="B140">
        <v>88.961469940000001</v>
      </c>
      <c r="C140">
        <v>0.97999327599999997</v>
      </c>
      <c r="D140">
        <v>2.5935317329999998</v>
      </c>
      <c r="E140">
        <v>6.9545029999999999E-3</v>
      </c>
      <c r="F140">
        <v>2.5370535420000002</v>
      </c>
      <c r="G140">
        <v>4.3009420000000003E-3</v>
      </c>
      <c r="H140">
        <v>-5.6478190999999997E-2</v>
      </c>
      <c r="I140">
        <v>6.813281E-3</v>
      </c>
      <c r="J140">
        <v>87.736326050000002</v>
      </c>
      <c r="K140">
        <v>88.63359466</v>
      </c>
      <c r="L140">
        <v>89.021343880000003</v>
      </c>
      <c r="M140">
        <v>90.454615160000003</v>
      </c>
      <c r="N140">
        <v>2.6028213990000002</v>
      </c>
      <c r="O140">
        <v>2.5976645880000002</v>
      </c>
      <c r="P140">
        <v>2.5868166050000001</v>
      </c>
      <c r="Q140">
        <v>2.5868243390000001</v>
      </c>
      <c r="R140">
        <v>2.5345600749999999</v>
      </c>
      <c r="S140">
        <v>2.5445029840000002</v>
      </c>
      <c r="T140">
        <v>2.5345731520000001</v>
      </c>
      <c r="U140">
        <v>2.5345779560000001</v>
      </c>
      <c r="V140">
        <v>-6.8261323999999998E-2</v>
      </c>
      <c r="W140">
        <v>-5.3161604000000001E-2</v>
      </c>
      <c r="X140">
        <v>-5.2243453000000002E-2</v>
      </c>
      <c r="Y140">
        <v>-5.2246383E-2</v>
      </c>
      <c r="Z140">
        <v>0</v>
      </c>
      <c r="AA140">
        <v>41</v>
      </c>
      <c r="AB140">
        <v>126</v>
      </c>
      <c r="AC140">
        <v>8</v>
      </c>
      <c r="AD140">
        <v>28</v>
      </c>
      <c r="AE140">
        <v>47</v>
      </c>
      <c r="AF140">
        <v>0</v>
      </c>
      <c r="AG140">
        <v>1.64</v>
      </c>
      <c r="AH140">
        <v>2.1621600000000001</v>
      </c>
      <c r="AI140">
        <v>0.128</v>
      </c>
      <c r="AJ140">
        <v>2.4528000000000001E-2</v>
      </c>
      <c r="AK140">
        <v>3.954688</v>
      </c>
    </row>
    <row r="141" spans="1:37">
      <c r="A141" t="s">
        <v>20</v>
      </c>
      <c r="B141">
        <v>53.953422549999999</v>
      </c>
      <c r="C141">
        <v>0.196811717</v>
      </c>
      <c r="D141">
        <v>2.6040457130000001</v>
      </c>
      <c r="E141">
        <v>6.2787249999999998E-3</v>
      </c>
      <c r="F141">
        <v>2.514545177</v>
      </c>
      <c r="G141">
        <v>6.0115059999999998E-3</v>
      </c>
      <c r="H141">
        <v>-8.9500536000000006E-2</v>
      </c>
      <c r="I141">
        <v>5.3499899999999998E-4</v>
      </c>
      <c r="J141">
        <v>53.633019359999999</v>
      </c>
      <c r="K141">
        <v>54.041617010000003</v>
      </c>
      <c r="L141">
        <v>53.97587197</v>
      </c>
      <c r="M141">
        <v>54.163181850000001</v>
      </c>
      <c r="N141">
        <v>2.6037727570000002</v>
      </c>
      <c r="O141">
        <v>2.5939120070000001</v>
      </c>
      <c r="P141">
        <v>2.608627045</v>
      </c>
      <c r="Q141">
        <v>2.6098710430000001</v>
      </c>
      <c r="R141">
        <v>2.514577187</v>
      </c>
      <c r="S141">
        <v>2.5047178059999999</v>
      </c>
      <c r="T141">
        <v>2.5194418280000002</v>
      </c>
      <c r="U141">
        <v>2.519443887</v>
      </c>
      <c r="V141">
        <v>-8.9195570000000002E-2</v>
      </c>
      <c r="W141">
        <v>-8.9194201000000001E-2</v>
      </c>
      <c r="X141">
        <v>-8.9185216999999997E-2</v>
      </c>
      <c r="Y141">
        <v>-9.0427155999999995E-2</v>
      </c>
      <c r="Z141">
        <v>0</v>
      </c>
      <c r="AA141">
        <v>34</v>
      </c>
      <c r="AB141">
        <v>28</v>
      </c>
      <c r="AC141">
        <v>0</v>
      </c>
      <c r="AD141">
        <v>167</v>
      </c>
      <c r="AE141">
        <v>21</v>
      </c>
      <c r="AF141">
        <v>0</v>
      </c>
      <c r="AG141">
        <v>1.36</v>
      </c>
      <c r="AH141">
        <v>0.48048000000000002</v>
      </c>
      <c r="AI141">
        <v>0</v>
      </c>
      <c r="AJ141">
        <v>0.14629200000000001</v>
      </c>
      <c r="AK141">
        <v>1.986772</v>
      </c>
    </row>
    <row r="142" spans="1:37">
      <c r="A142" t="s">
        <v>20</v>
      </c>
      <c r="B142">
        <v>52.28797874</v>
      </c>
      <c r="C142">
        <v>0.71023120699999998</v>
      </c>
      <c r="D142">
        <v>2.0809481679999999</v>
      </c>
      <c r="E142">
        <v>2.8719869999999999E-3</v>
      </c>
      <c r="F142">
        <v>2.0908706619999999</v>
      </c>
      <c r="G142">
        <v>2.7466159999999999E-3</v>
      </c>
      <c r="H142">
        <v>9.9224949999999999E-3</v>
      </c>
      <c r="I142">
        <v>1.2672599999999999E-4</v>
      </c>
      <c r="J142">
        <v>51.061198320000003</v>
      </c>
      <c r="K142">
        <v>52.713335809999997</v>
      </c>
      <c r="L142">
        <v>52.761679909999998</v>
      </c>
      <c r="M142">
        <v>52.615700930000003</v>
      </c>
      <c r="N142">
        <v>2.0760353989999998</v>
      </c>
      <c r="O142">
        <v>2.0825963949999999</v>
      </c>
      <c r="P142">
        <v>2.081942991</v>
      </c>
      <c r="Q142">
        <v>2.0832178849999998</v>
      </c>
      <c r="R142">
        <v>2.086176918</v>
      </c>
      <c r="S142">
        <v>2.0924334739999999</v>
      </c>
      <c r="T142">
        <v>2.091803429</v>
      </c>
      <c r="U142">
        <v>2.0930688279999998</v>
      </c>
      <c r="V142">
        <v>1.0141519E-2</v>
      </c>
      <c r="W142">
        <v>9.8370790000000003E-3</v>
      </c>
      <c r="X142">
        <v>9.8604379999999991E-3</v>
      </c>
      <c r="Y142">
        <v>9.8509429999999992E-3</v>
      </c>
      <c r="Z142">
        <v>51</v>
      </c>
      <c r="AA142">
        <v>33</v>
      </c>
      <c r="AB142">
        <v>27</v>
      </c>
      <c r="AC142">
        <v>50</v>
      </c>
      <c r="AD142">
        <v>46</v>
      </c>
      <c r="AE142">
        <v>43</v>
      </c>
      <c r="AF142">
        <v>3.06</v>
      </c>
      <c r="AG142">
        <v>1.32</v>
      </c>
      <c r="AH142">
        <v>0.46332000000000001</v>
      </c>
      <c r="AI142">
        <v>0.8</v>
      </c>
      <c r="AJ142">
        <v>4.0295999999999998E-2</v>
      </c>
      <c r="AK142">
        <v>5.6836159999999998</v>
      </c>
    </row>
    <row r="143" spans="1:37">
      <c r="A143" t="s">
        <v>20</v>
      </c>
      <c r="B143">
        <v>36.125202649999999</v>
      </c>
      <c r="C143">
        <v>1.4432286889999999</v>
      </c>
      <c r="D143">
        <v>2.071570237</v>
      </c>
      <c r="E143">
        <v>3.260574E-3</v>
      </c>
      <c r="F143">
        <v>2.0570201950000002</v>
      </c>
      <c r="G143">
        <v>6.428586E-3</v>
      </c>
      <c r="H143">
        <v>-1.4550041999999999E-2</v>
      </c>
      <c r="I143">
        <v>3.3697449999999999E-3</v>
      </c>
      <c r="J143">
        <v>36.909708780000003</v>
      </c>
      <c r="K143">
        <v>38.091635480000001</v>
      </c>
      <c r="L143">
        <v>34.93069672</v>
      </c>
      <c r="M143">
        <v>34.568769600000003</v>
      </c>
      <c r="N143">
        <v>2.072852347</v>
      </c>
      <c r="O143">
        <v>2.0759639480000001</v>
      </c>
      <c r="P143">
        <v>2.0703860220000001</v>
      </c>
      <c r="Q143">
        <v>2.0670786319999999</v>
      </c>
      <c r="R143">
        <v>2.0595645189999998</v>
      </c>
      <c r="S143">
        <v>2.0663201490000001</v>
      </c>
      <c r="T143">
        <v>2.0521470220000002</v>
      </c>
      <c r="U143">
        <v>2.0500490899999999</v>
      </c>
      <c r="V143">
        <v>-1.3287828E-2</v>
      </c>
      <c r="W143">
        <v>-9.6437989999999998E-3</v>
      </c>
      <c r="X143">
        <v>-1.8238999999999998E-2</v>
      </c>
      <c r="Y143">
        <v>-1.7029542000000002E-2</v>
      </c>
      <c r="Z143">
        <v>89</v>
      </c>
      <c r="AA143">
        <v>11</v>
      </c>
      <c r="AB143">
        <v>23</v>
      </c>
      <c r="AC143">
        <v>70</v>
      </c>
      <c r="AD143">
        <v>19</v>
      </c>
      <c r="AE143">
        <v>38</v>
      </c>
      <c r="AF143">
        <v>5.34</v>
      </c>
      <c r="AG143">
        <v>0.44</v>
      </c>
      <c r="AH143">
        <v>0.39467999999999998</v>
      </c>
      <c r="AI143">
        <v>1.1200000000000001</v>
      </c>
      <c r="AJ143">
        <v>1.6643999999999999E-2</v>
      </c>
      <c r="AK143">
        <v>7.3113239999999999</v>
      </c>
    </row>
    <row r="144" spans="1:37">
      <c r="A144" t="s">
        <v>20</v>
      </c>
      <c r="B144">
        <v>45.334413599999998</v>
      </c>
      <c r="C144">
        <v>0.78812554000000001</v>
      </c>
      <c r="D144">
        <v>2.1538775800000001</v>
      </c>
      <c r="E144">
        <v>3.2249459999999998E-3</v>
      </c>
      <c r="F144">
        <v>2.1140890890000001</v>
      </c>
      <c r="G144">
        <v>2.6511320000000001E-3</v>
      </c>
      <c r="H144">
        <v>-3.9788491000000002E-2</v>
      </c>
      <c r="I144">
        <v>6.5143099999999995E-4</v>
      </c>
      <c r="J144">
        <v>44.338836899999997</v>
      </c>
      <c r="K144">
        <v>46.372897420000001</v>
      </c>
      <c r="L144">
        <v>44.85797359</v>
      </c>
      <c r="M144">
        <v>45.767946500000001</v>
      </c>
      <c r="N144">
        <v>2.149101404</v>
      </c>
      <c r="O144">
        <v>2.1528673719999998</v>
      </c>
      <c r="P144">
        <v>2.1574875809999998</v>
      </c>
      <c r="Q144">
        <v>2.156053961</v>
      </c>
      <c r="R144">
        <v>2.1099798409999999</v>
      </c>
      <c r="S144">
        <v>2.1137146219999998</v>
      </c>
      <c r="T144">
        <v>2.1170506750000002</v>
      </c>
      <c r="U144">
        <v>2.1156112180000002</v>
      </c>
      <c r="V144">
        <v>-3.9121562999999998E-2</v>
      </c>
      <c r="W144">
        <v>-3.915275E-2</v>
      </c>
      <c r="X144">
        <v>-4.0436906000000002E-2</v>
      </c>
      <c r="Y144">
        <v>-4.0442743000000003E-2</v>
      </c>
      <c r="Z144">
        <v>14</v>
      </c>
      <c r="AA144">
        <v>6</v>
      </c>
      <c r="AB144">
        <v>21</v>
      </c>
      <c r="AC144">
        <v>51</v>
      </c>
      <c r="AD144">
        <v>127</v>
      </c>
      <c r="AE144">
        <v>31</v>
      </c>
      <c r="AF144">
        <v>0.84</v>
      </c>
      <c r="AG144">
        <v>0.24</v>
      </c>
      <c r="AH144">
        <v>0.36036000000000001</v>
      </c>
      <c r="AI144">
        <v>0.81599999999999995</v>
      </c>
      <c r="AJ144">
        <v>0.111252</v>
      </c>
      <c r="AK144">
        <v>2.3676119999999998</v>
      </c>
    </row>
    <row r="145" spans="1:37">
      <c r="A145" t="s">
        <v>20</v>
      </c>
      <c r="B145">
        <v>21.429612070000001</v>
      </c>
      <c r="C145">
        <v>1.534279591</v>
      </c>
      <c r="D145">
        <v>2.0178696399999998</v>
      </c>
      <c r="E145">
        <v>8.9807600000000004E-4</v>
      </c>
      <c r="F145">
        <v>2.0298187570000001</v>
      </c>
      <c r="G145">
        <v>1.440483E-3</v>
      </c>
      <c r="H145">
        <v>1.1949117E-2</v>
      </c>
      <c r="I145">
        <v>5.7636700000000005E-4</v>
      </c>
      <c r="J145">
        <v>19.39211036</v>
      </c>
      <c r="K145">
        <v>20.980416829999999</v>
      </c>
      <c r="L145">
        <v>21.80225081</v>
      </c>
      <c r="M145">
        <v>23.09447505</v>
      </c>
      <c r="N145">
        <v>2.017975222</v>
      </c>
      <c r="O145">
        <v>1.427370445</v>
      </c>
      <c r="P145">
        <v>2.016720743</v>
      </c>
      <c r="Q145">
        <v>2.0189129559999999</v>
      </c>
      <c r="R145">
        <v>2.030332246</v>
      </c>
      <c r="S145">
        <v>1.438515414</v>
      </c>
      <c r="T145">
        <v>2.0278547539999998</v>
      </c>
      <c r="U145">
        <v>2.0312692710000002</v>
      </c>
      <c r="V145">
        <v>1.2357023999999999E-2</v>
      </c>
      <c r="W145">
        <v>1.1144968999999999E-2</v>
      </c>
      <c r="X145">
        <v>1.1134010999999999E-2</v>
      </c>
      <c r="Y145">
        <v>1.2356315E-2</v>
      </c>
      <c r="Z145">
        <v>154</v>
      </c>
      <c r="AA145">
        <v>0</v>
      </c>
      <c r="AB145">
        <v>29</v>
      </c>
      <c r="AC145">
        <v>43</v>
      </c>
      <c r="AD145">
        <v>8</v>
      </c>
      <c r="AE145">
        <v>16</v>
      </c>
      <c r="AF145">
        <v>9.24</v>
      </c>
      <c r="AG145">
        <v>0</v>
      </c>
      <c r="AH145">
        <v>0.49764000000000003</v>
      </c>
      <c r="AI145">
        <v>0.68799999999999994</v>
      </c>
      <c r="AJ145">
        <v>7.0080000000000003E-3</v>
      </c>
      <c r="AK145">
        <v>10.432648</v>
      </c>
    </row>
    <row r="146" spans="1:37">
      <c r="A146" t="s">
        <v>20</v>
      </c>
      <c r="B146">
        <v>78.720294480000007</v>
      </c>
      <c r="C146">
        <v>1.3112784689999999</v>
      </c>
      <c r="D146">
        <v>2.0735933329999998</v>
      </c>
      <c r="E146">
        <v>1.3763849999999999E-3</v>
      </c>
      <c r="F146">
        <v>2.083484753</v>
      </c>
      <c r="G146">
        <v>1.40832E-3</v>
      </c>
      <c r="H146">
        <v>9.8914199999999997E-3</v>
      </c>
      <c r="I146" s="5" t="s">
        <v>77</v>
      </c>
      <c r="J146">
        <v>77.215643479999997</v>
      </c>
      <c r="K146">
        <v>78.251838800000002</v>
      </c>
      <c r="L146">
        <v>78.600546660000006</v>
      </c>
      <c r="M146">
        <v>80.813148990000002</v>
      </c>
      <c r="N146">
        <v>2.0724804730000002</v>
      </c>
      <c r="O146">
        <v>2.072419832</v>
      </c>
      <c r="P146">
        <v>2.0736528939999999</v>
      </c>
      <c r="Q146">
        <v>2.075820132</v>
      </c>
      <c r="R146">
        <v>2.0823281119999999</v>
      </c>
      <c r="S146">
        <v>2.0823008839999999</v>
      </c>
      <c r="T146">
        <v>2.0835470589999998</v>
      </c>
      <c r="U146">
        <v>2.085762957</v>
      </c>
      <c r="V146">
        <v>9.847639E-3</v>
      </c>
      <c r="W146">
        <v>9.8810519999999995E-3</v>
      </c>
      <c r="X146">
        <v>9.8941649999999999E-3</v>
      </c>
      <c r="Y146">
        <v>9.9428250000000006E-3</v>
      </c>
      <c r="Z146">
        <v>16</v>
      </c>
      <c r="AA146">
        <v>31</v>
      </c>
      <c r="AB146">
        <v>126</v>
      </c>
      <c r="AC146">
        <v>10</v>
      </c>
      <c r="AD146">
        <v>25</v>
      </c>
      <c r="AE146">
        <v>42</v>
      </c>
      <c r="AF146">
        <v>0.96</v>
      </c>
      <c r="AG146">
        <v>1.24</v>
      </c>
      <c r="AH146">
        <v>2.1621600000000001</v>
      </c>
      <c r="AI146">
        <v>0.16</v>
      </c>
      <c r="AJ146">
        <v>2.1899999999999999E-2</v>
      </c>
      <c r="AK146">
        <v>4.54406</v>
      </c>
    </row>
    <row r="147" spans="1:37">
      <c r="A147" t="s">
        <v>20</v>
      </c>
      <c r="B147">
        <v>79.372339389999993</v>
      </c>
      <c r="C147">
        <v>0.477027431</v>
      </c>
      <c r="D147">
        <v>2.622226188</v>
      </c>
      <c r="E147">
        <v>1.9533186000000001E-2</v>
      </c>
      <c r="F147">
        <v>2.5496078340000001</v>
      </c>
      <c r="G147">
        <v>1.7033393000000001E-2</v>
      </c>
      <c r="H147">
        <v>-7.2618354999999996E-2</v>
      </c>
      <c r="I147">
        <v>3.0860200000000001E-3</v>
      </c>
      <c r="J147">
        <v>78.934933099999995</v>
      </c>
      <c r="K147">
        <v>79.062984110000002</v>
      </c>
      <c r="L147">
        <v>80.160671559999997</v>
      </c>
      <c r="M147">
        <v>79.330768770000006</v>
      </c>
      <c r="N147">
        <v>2.5886338750000002</v>
      </c>
      <c r="O147">
        <v>2.6360745959999998</v>
      </c>
      <c r="P147">
        <v>2.6297477570000001</v>
      </c>
      <c r="Q147">
        <v>2.6344485240000002</v>
      </c>
      <c r="R147">
        <v>2.5207445420000001</v>
      </c>
      <c r="S147">
        <v>2.5642237350000001</v>
      </c>
      <c r="T147">
        <v>2.5542478150000001</v>
      </c>
      <c r="U147">
        <v>2.5592152420000001</v>
      </c>
      <c r="V147">
        <v>-6.7889332999999996E-2</v>
      </c>
      <c r="W147">
        <v>-7.1850861000000002E-2</v>
      </c>
      <c r="X147">
        <v>-7.5499942E-2</v>
      </c>
      <c r="Y147">
        <v>-7.5233281999999999E-2</v>
      </c>
      <c r="Z147">
        <v>0</v>
      </c>
      <c r="AA147">
        <v>109</v>
      </c>
      <c r="AB147">
        <v>8</v>
      </c>
      <c r="AC147">
        <v>44</v>
      </c>
      <c r="AD147">
        <v>78</v>
      </c>
      <c r="AE147">
        <v>11</v>
      </c>
      <c r="AF147">
        <v>0</v>
      </c>
      <c r="AG147">
        <v>4.3600000000000003</v>
      </c>
      <c r="AH147">
        <v>0.13728000000000001</v>
      </c>
      <c r="AI147">
        <v>0.70399999999999996</v>
      </c>
      <c r="AJ147">
        <v>6.8328E-2</v>
      </c>
      <c r="AK147">
        <v>5.2696079999999998</v>
      </c>
    </row>
    <row r="148" spans="1:37">
      <c r="A148" t="s">
        <v>20</v>
      </c>
      <c r="B148">
        <v>67.802840099999997</v>
      </c>
      <c r="C148">
        <v>2.1222175299999999</v>
      </c>
      <c r="D148">
        <v>1.897540209</v>
      </c>
      <c r="E148">
        <v>0.23754461700000001</v>
      </c>
      <c r="F148">
        <v>1.9091405779999999</v>
      </c>
      <c r="G148">
        <v>0.23698667500000001</v>
      </c>
      <c r="H148">
        <v>1.160037E-2</v>
      </c>
      <c r="I148">
        <v>5.5865199999999998E-4</v>
      </c>
      <c r="J148">
        <v>64.920294889999994</v>
      </c>
      <c r="K148">
        <v>67.173336180000007</v>
      </c>
      <c r="L148">
        <v>69.967929470000001</v>
      </c>
      <c r="M148">
        <v>68.520295930000003</v>
      </c>
      <c r="N148">
        <v>2.0560237840000002</v>
      </c>
      <c r="O148">
        <v>1.4682256330000001</v>
      </c>
      <c r="P148">
        <v>1.561776716</v>
      </c>
      <c r="Q148">
        <v>2.0748201260000001</v>
      </c>
      <c r="R148">
        <v>2.067216841</v>
      </c>
      <c r="S148">
        <v>1.4781549780000001</v>
      </c>
      <c r="T148">
        <v>1.57416701</v>
      </c>
      <c r="U148">
        <v>2.086037884</v>
      </c>
      <c r="V148">
        <v>1.1193056999999999E-2</v>
      </c>
      <c r="W148">
        <v>9.9293449999999991E-3</v>
      </c>
      <c r="X148">
        <v>1.2390294E-2</v>
      </c>
      <c r="Y148">
        <v>1.1217758E-2</v>
      </c>
      <c r="Z148">
        <v>12</v>
      </c>
      <c r="AA148">
        <v>107</v>
      </c>
      <c r="AB148">
        <v>39</v>
      </c>
      <c r="AC148">
        <v>54</v>
      </c>
      <c r="AD148">
        <v>36</v>
      </c>
      <c r="AE148">
        <v>2</v>
      </c>
      <c r="AF148">
        <v>0.72</v>
      </c>
      <c r="AG148">
        <v>4.28</v>
      </c>
      <c r="AH148">
        <v>0.66923999999999995</v>
      </c>
      <c r="AI148">
        <v>0.86399999999999999</v>
      </c>
      <c r="AJ148">
        <v>3.1536000000000002E-2</v>
      </c>
      <c r="AK148">
        <v>6.5647760000000002</v>
      </c>
    </row>
    <row r="149" spans="1:37">
      <c r="A149" t="s">
        <v>20</v>
      </c>
      <c r="B149">
        <v>61.382170209999998</v>
      </c>
      <c r="C149">
        <v>0.26014169300000001</v>
      </c>
      <c r="D149">
        <v>2.8676766630000001</v>
      </c>
      <c r="E149">
        <v>0.16395911199999999</v>
      </c>
      <c r="F149">
        <v>2.799793481</v>
      </c>
      <c r="G149">
        <v>0.16565366500000001</v>
      </c>
      <c r="H149">
        <v>-6.7883182E-2</v>
      </c>
      <c r="I149">
        <v>2.381069E-3</v>
      </c>
      <c r="J149">
        <v>60.941778130000003</v>
      </c>
      <c r="K149">
        <v>61.552704839999997</v>
      </c>
      <c r="L149">
        <v>61.442078819999999</v>
      </c>
      <c r="M149">
        <v>61.592119050000001</v>
      </c>
      <c r="N149">
        <v>2.5840341160000002</v>
      </c>
      <c r="O149">
        <v>2.9491445270000001</v>
      </c>
      <c r="P149">
        <v>2.9675487440000001</v>
      </c>
      <c r="Q149">
        <v>2.969979264</v>
      </c>
      <c r="R149">
        <v>2.5133495880000001</v>
      </c>
      <c r="S149">
        <v>2.8796883219999998</v>
      </c>
      <c r="T149">
        <v>2.9030335209999998</v>
      </c>
      <c r="U149">
        <v>2.9031024940000001</v>
      </c>
      <c r="V149">
        <v>-7.0684527999999996E-2</v>
      </c>
      <c r="W149">
        <v>-6.9456204999999993E-2</v>
      </c>
      <c r="X149">
        <v>-6.4515222999999997E-2</v>
      </c>
      <c r="Y149">
        <v>-6.6876770000000002E-2</v>
      </c>
      <c r="Z149">
        <v>0</v>
      </c>
      <c r="AA149">
        <v>68</v>
      </c>
      <c r="AB149">
        <v>28</v>
      </c>
      <c r="AC149">
        <v>95</v>
      </c>
      <c r="AD149">
        <v>34</v>
      </c>
      <c r="AE149">
        <v>25</v>
      </c>
      <c r="AF149">
        <v>0</v>
      </c>
      <c r="AG149">
        <v>2.72</v>
      </c>
      <c r="AH149">
        <v>0.48048000000000002</v>
      </c>
      <c r="AI149">
        <v>1.52</v>
      </c>
      <c r="AJ149">
        <v>2.9784000000000001E-2</v>
      </c>
      <c r="AK149">
        <v>4.7502639999999996</v>
      </c>
    </row>
    <row r="150" spans="1:37">
      <c r="A150" t="s">
        <v>20</v>
      </c>
      <c r="B150">
        <v>71.897867000000005</v>
      </c>
      <c r="C150">
        <v>0.89486122400000001</v>
      </c>
      <c r="D150">
        <v>2.086391318</v>
      </c>
      <c r="E150">
        <v>5.6245299999999998E-4</v>
      </c>
      <c r="F150">
        <v>2.0963603559999999</v>
      </c>
      <c r="G150">
        <v>5.5796999999999997E-4</v>
      </c>
      <c r="H150">
        <v>9.9690379999999995E-3</v>
      </c>
      <c r="I150" s="5" t="s">
        <v>78</v>
      </c>
      <c r="J150">
        <v>69.942284720000004</v>
      </c>
      <c r="K150">
        <v>70.869049590000003</v>
      </c>
      <c r="L150">
        <v>71.77406259</v>
      </c>
      <c r="M150">
        <v>73.050488810000004</v>
      </c>
      <c r="N150">
        <v>1.564037509</v>
      </c>
      <c r="O150">
        <v>2.0859972939999998</v>
      </c>
      <c r="P150">
        <v>2.0859899249999998</v>
      </c>
      <c r="Q150">
        <v>2.087186735</v>
      </c>
      <c r="R150">
        <v>1.5740800770000001</v>
      </c>
      <c r="S150">
        <v>2.0959773249999998</v>
      </c>
      <c r="T150">
        <v>2.095954409</v>
      </c>
      <c r="U150">
        <v>2.097149334</v>
      </c>
      <c r="V150">
        <v>1.0042568E-2</v>
      </c>
      <c r="W150">
        <v>9.9800310000000003E-3</v>
      </c>
      <c r="X150">
        <v>9.9644839999999991E-3</v>
      </c>
      <c r="Y150">
        <v>9.9625990000000008E-3</v>
      </c>
      <c r="Z150">
        <v>5</v>
      </c>
      <c r="AA150">
        <v>72</v>
      </c>
      <c r="AB150">
        <v>29</v>
      </c>
      <c r="AC150">
        <v>64</v>
      </c>
      <c r="AD150">
        <v>10</v>
      </c>
      <c r="AE150">
        <v>70</v>
      </c>
      <c r="AF150">
        <v>0.3</v>
      </c>
      <c r="AG150">
        <v>2.88</v>
      </c>
      <c r="AH150">
        <v>0.49764000000000003</v>
      </c>
      <c r="AI150">
        <v>1.024</v>
      </c>
      <c r="AJ150">
        <v>8.7600000000000004E-3</v>
      </c>
      <c r="AK150">
        <v>4.7103999999999999</v>
      </c>
    </row>
    <row r="151" spans="1:37">
      <c r="A151" t="s">
        <v>20</v>
      </c>
      <c r="B151">
        <v>59.212885129999997</v>
      </c>
      <c r="C151">
        <v>0.77233544200000004</v>
      </c>
      <c r="D151">
        <v>2.0537622199999999</v>
      </c>
      <c r="E151">
        <v>7.0748199999999995E-4</v>
      </c>
      <c r="F151">
        <v>2.064096395</v>
      </c>
      <c r="G151">
        <v>1.1341890000000001E-3</v>
      </c>
      <c r="H151">
        <v>1.0334174999999999E-2</v>
      </c>
      <c r="I151">
        <v>6.06077E-4</v>
      </c>
      <c r="J151">
        <v>62.088164120000002</v>
      </c>
      <c r="K151">
        <v>58.37551139</v>
      </c>
      <c r="L151">
        <v>59.024236049999999</v>
      </c>
      <c r="M151">
        <v>60.238907959999999</v>
      </c>
      <c r="N151">
        <v>1.4811431370000001</v>
      </c>
      <c r="O151">
        <v>2.0542281990000002</v>
      </c>
      <c r="P151">
        <v>2.054296006</v>
      </c>
      <c r="Q151">
        <v>2.052762456</v>
      </c>
      <c r="R151">
        <v>1.4934630820000001</v>
      </c>
      <c r="S151">
        <v>2.0654192199999999</v>
      </c>
      <c r="T151">
        <v>2.064220588</v>
      </c>
      <c r="U151">
        <v>2.0626493770000001</v>
      </c>
      <c r="V151">
        <v>1.2319945000000001E-2</v>
      </c>
      <c r="W151">
        <v>1.1191021000000001E-2</v>
      </c>
      <c r="X151">
        <v>9.9245819999999995E-3</v>
      </c>
      <c r="Y151">
        <v>9.8869209999999999E-3</v>
      </c>
      <c r="Z151">
        <v>35</v>
      </c>
      <c r="AA151">
        <v>56</v>
      </c>
      <c r="AB151">
        <v>104</v>
      </c>
      <c r="AC151">
        <v>15</v>
      </c>
      <c r="AD151">
        <v>11</v>
      </c>
      <c r="AE151">
        <v>29</v>
      </c>
      <c r="AF151">
        <v>2.1</v>
      </c>
      <c r="AG151">
        <v>2.2400000000000002</v>
      </c>
      <c r="AH151">
        <v>1.78464</v>
      </c>
      <c r="AI151">
        <v>0.24</v>
      </c>
      <c r="AJ151">
        <v>9.6360000000000005E-3</v>
      </c>
      <c r="AK151">
        <v>6.3742760000000001</v>
      </c>
    </row>
    <row r="152" spans="1:37">
      <c r="A152" t="s">
        <v>20</v>
      </c>
      <c r="B152">
        <v>37.125852180000003</v>
      </c>
      <c r="C152">
        <v>0.51889321799999999</v>
      </c>
      <c r="D152">
        <v>2.0474632609999999</v>
      </c>
      <c r="E152">
        <v>1.3627019999999999E-3</v>
      </c>
      <c r="F152">
        <v>2.0573502289999999</v>
      </c>
      <c r="G152">
        <v>1.365909E-3</v>
      </c>
      <c r="H152">
        <v>9.8869679999999995E-3</v>
      </c>
      <c r="I152" s="5" t="s">
        <v>79</v>
      </c>
      <c r="J152">
        <v>36.253004519999998</v>
      </c>
      <c r="K152">
        <v>37.293416350000001</v>
      </c>
      <c r="L152">
        <v>37.616963249999998</v>
      </c>
      <c r="M152">
        <v>37.340024579999998</v>
      </c>
      <c r="N152">
        <v>2.0490825049999999</v>
      </c>
      <c r="O152">
        <v>2.0481560590000001</v>
      </c>
      <c r="P152">
        <v>2.047216396</v>
      </c>
      <c r="Q152">
        <v>2.0453980820000002</v>
      </c>
      <c r="R152">
        <v>2.058959642</v>
      </c>
      <c r="S152">
        <v>2.05806472</v>
      </c>
      <c r="T152">
        <v>2.0570998299999999</v>
      </c>
      <c r="U152">
        <v>2.055276723</v>
      </c>
      <c r="V152">
        <v>9.8771369999999994E-3</v>
      </c>
      <c r="W152">
        <v>9.9086609999999992E-3</v>
      </c>
      <c r="X152">
        <v>9.883434E-3</v>
      </c>
      <c r="Y152">
        <v>9.8786410000000005E-3</v>
      </c>
      <c r="Z152">
        <v>59</v>
      </c>
      <c r="AA152">
        <v>51</v>
      </c>
      <c r="AB152">
        <v>41</v>
      </c>
      <c r="AC152">
        <v>72</v>
      </c>
      <c r="AD152">
        <v>19</v>
      </c>
      <c r="AE152">
        <v>8</v>
      </c>
      <c r="AF152">
        <v>3.54</v>
      </c>
      <c r="AG152">
        <v>2.04</v>
      </c>
      <c r="AH152">
        <v>0.70355999999999996</v>
      </c>
      <c r="AI152">
        <v>1.1519999999999999</v>
      </c>
      <c r="AJ152">
        <v>1.6643999999999999E-2</v>
      </c>
      <c r="AK152">
        <v>7.4522040000000001</v>
      </c>
    </row>
    <row r="153" spans="1:37">
      <c r="A153" t="s">
        <v>20</v>
      </c>
      <c r="B153">
        <v>57.404538989999999</v>
      </c>
      <c r="C153">
        <v>0.87740569000000002</v>
      </c>
      <c r="D153">
        <v>2.6298010230000002</v>
      </c>
      <c r="E153">
        <v>5.6998149999999996E-3</v>
      </c>
      <c r="F153">
        <v>2.5493326230000002</v>
      </c>
      <c r="G153">
        <v>3.9876099999999999E-3</v>
      </c>
      <c r="H153">
        <v>-8.0468399999999995E-2</v>
      </c>
      <c r="I153">
        <v>2.3223660000000002E-3</v>
      </c>
      <c r="J153">
        <v>56.018820570000003</v>
      </c>
      <c r="K153">
        <v>57.314653970000002</v>
      </c>
      <c r="L153">
        <v>58.31892689</v>
      </c>
      <c r="M153">
        <v>57.965754539999999</v>
      </c>
      <c r="N153">
        <v>2.6224517779999998</v>
      </c>
      <c r="O153">
        <v>2.6384160090000002</v>
      </c>
      <c r="P153">
        <v>2.6284895079999999</v>
      </c>
      <c r="Q153">
        <v>2.6298467969999999</v>
      </c>
      <c r="R153">
        <v>2.5431649479999998</v>
      </c>
      <c r="S153">
        <v>2.554238566</v>
      </c>
      <c r="T153">
        <v>2.550554956</v>
      </c>
      <c r="U153">
        <v>2.5493720230000001</v>
      </c>
      <c r="V153">
        <v>-7.9286830000000003E-2</v>
      </c>
      <c r="W153">
        <v>-8.4177443000000005E-2</v>
      </c>
      <c r="X153">
        <v>-7.7934552000000004E-2</v>
      </c>
      <c r="Y153">
        <v>-8.0474773999999999E-2</v>
      </c>
      <c r="Z153">
        <v>0</v>
      </c>
      <c r="AA153">
        <v>91</v>
      </c>
      <c r="AB153">
        <v>0</v>
      </c>
      <c r="AC153">
        <v>91</v>
      </c>
      <c r="AD153">
        <v>38</v>
      </c>
      <c r="AE153">
        <v>30</v>
      </c>
      <c r="AF153">
        <v>0</v>
      </c>
      <c r="AG153">
        <v>3.64</v>
      </c>
      <c r="AH153">
        <v>0</v>
      </c>
      <c r="AI153">
        <v>1.456</v>
      </c>
      <c r="AJ153">
        <v>3.3287999999999998E-2</v>
      </c>
      <c r="AK153">
        <v>5.1292879999999998</v>
      </c>
    </row>
    <row r="154" spans="1:37">
      <c r="A154" t="s">
        <v>20</v>
      </c>
      <c r="B154">
        <v>55.038348970000001</v>
      </c>
      <c r="C154">
        <v>0.66968615899999995</v>
      </c>
      <c r="D154">
        <v>2.0726675210000001</v>
      </c>
      <c r="E154">
        <v>1.400449E-3</v>
      </c>
      <c r="F154">
        <v>2.0825311530000001</v>
      </c>
      <c r="G154">
        <v>1.408695E-3</v>
      </c>
      <c r="H154">
        <v>9.8636330000000001E-3</v>
      </c>
      <c r="I154" s="5" t="s">
        <v>80</v>
      </c>
      <c r="J154">
        <v>54.552453409999998</v>
      </c>
      <c r="K154">
        <v>55.52422894</v>
      </c>
      <c r="L154">
        <v>54.225416299999999</v>
      </c>
      <c r="M154">
        <v>55.851297209999998</v>
      </c>
      <c r="N154">
        <v>2.0745796699999999</v>
      </c>
      <c r="O154">
        <v>2.0727304169999998</v>
      </c>
      <c r="P154">
        <v>2.0706230319999999</v>
      </c>
      <c r="Q154">
        <v>2.0727369630000001</v>
      </c>
      <c r="R154">
        <v>2.0844641699999999</v>
      </c>
      <c r="S154">
        <v>2.0825898129999998</v>
      </c>
      <c r="T154">
        <v>2.080483101</v>
      </c>
      <c r="U154">
        <v>2.0825875300000001</v>
      </c>
      <c r="V154">
        <v>9.8844999999999992E-3</v>
      </c>
      <c r="W154">
        <v>9.8593959999999994E-3</v>
      </c>
      <c r="X154">
        <v>9.8600690000000008E-3</v>
      </c>
      <c r="Y154">
        <v>9.8505669999999993E-3</v>
      </c>
      <c r="Z154">
        <v>66</v>
      </c>
      <c r="AA154">
        <v>55</v>
      </c>
      <c r="AB154">
        <v>25</v>
      </c>
      <c r="AC154">
        <v>0</v>
      </c>
      <c r="AD154">
        <v>97</v>
      </c>
      <c r="AE154">
        <v>7</v>
      </c>
      <c r="AF154">
        <v>3.96</v>
      </c>
      <c r="AG154">
        <v>2.2000000000000002</v>
      </c>
      <c r="AH154">
        <v>0.42899999999999999</v>
      </c>
      <c r="AI154">
        <v>0</v>
      </c>
      <c r="AJ154">
        <v>8.4972000000000006E-2</v>
      </c>
      <c r="AK154">
        <v>6.673972</v>
      </c>
    </row>
    <row r="155" spans="1:37">
      <c r="A155" t="s">
        <v>20</v>
      </c>
      <c r="B155">
        <v>43.642737009999998</v>
      </c>
      <c r="C155">
        <v>0.33863401700000001</v>
      </c>
      <c r="D155">
        <v>2.1667902849999998</v>
      </c>
      <c r="E155">
        <v>1.9300879999999999E-3</v>
      </c>
      <c r="F155">
        <v>2.1266793549999998</v>
      </c>
      <c r="G155">
        <v>2.4856639999999998E-3</v>
      </c>
      <c r="H155">
        <v>-4.0110931000000002E-2</v>
      </c>
      <c r="I155">
        <v>5.5626799999999995E-4</v>
      </c>
      <c r="J155">
        <v>43.099055149999998</v>
      </c>
      <c r="K155">
        <v>44.019552959999999</v>
      </c>
      <c r="L155">
        <v>43.78612682</v>
      </c>
      <c r="M155">
        <v>43.6662131</v>
      </c>
      <c r="N155">
        <v>2.1701288820000002</v>
      </c>
      <c r="O155">
        <v>2.1656355719999998</v>
      </c>
      <c r="P155">
        <v>2.1655629009999999</v>
      </c>
      <c r="Q155">
        <v>2.1658337859999999</v>
      </c>
      <c r="R155">
        <v>2.1309801390000001</v>
      </c>
      <c r="S155">
        <v>2.125157315</v>
      </c>
      <c r="T155">
        <v>2.12514848</v>
      </c>
      <c r="U155">
        <v>2.1254314839999999</v>
      </c>
      <c r="V155">
        <v>-3.9148743E-2</v>
      </c>
      <c r="W155">
        <v>-4.0478256999999997E-2</v>
      </c>
      <c r="X155">
        <v>-4.0414420999999999E-2</v>
      </c>
      <c r="Y155">
        <v>-4.0402302000000001E-2</v>
      </c>
      <c r="Z155">
        <v>34</v>
      </c>
      <c r="AA155">
        <v>0</v>
      </c>
      <c r="AB155">
        <v>8</v>
      </c>
      <c r="AC155">
        <v>18</v>
      </c>
      <c r="AD155">
        <v>137</v>
      </c>
      <c r="AE155">
        <v>53</v>
      </c>
      <c r="AF155">
        <v>2.04</v>
      </c>
      <c r="AG155">
        <v>0</v>
      </c>
      <c r="AH155">
        <v>0.13728000000000001</v>
      </c>
      <c r="AI155">
        <v>0.28799999999999998</v>
      </c>
      <c r="AJ155">
        <v>0.12001199999999999</v>
      </c>
      <c r="AK155">
        <v>2.5852919999999999</v>
      </c>
    </row>
    <row r="156" spans="1:37">
      <c r="A156" t="s">
        <v>20</v>
      </c>
      <c r="B156">
        <v>46.201746010000001</v>
      </c>
      <c r="C156">
        <v>0.67629749800000005</v>
      </c>
      <c r="D156">
        <v>2.1834144090000001</v>
      </c>
      <c r="E156">
        <v>8.84653E-3</v>
      </c>
      <c r="F156">
        <v>2.125113614</v>
      </c>
      <c r="G156">
        <v>2.0555019999999999E-3</v>
      </c>
      <c r="H156">
        <v>-5.8300796000000002E-2</v>
      </c>
      <c r="I156">
        <v>1.0618463E-2</v>
      </c>
      <c r="J156">
        <v>45.04206653</v>
      </c>
      <c r="K156">
        <v>46.635482539999998</v>
      </c>
      <c r="L156">
        <v>46.436201369999999</v>
      </c>
      <c r="M156">
        <v>46.693233579999998</v>
      </c>
      <c r="N156">
        <v>2.1689357039999999</v>
      </c>
      <c r="O156">
        <v>2.1928800399999999</v>
      </c>
      <c r="P156">
        <v>2.1867108260000001</v>
      </c>
      <c r="Q156">
        <v>2.1851310669999999</v>
      </c>
      <c r="R156">
        <v>2.1285008859999999</v>
      </c>
      <c r="S156">
        <v>2.1245076479999998</v>
      </c>
      <c r="T156">
        <v>2.1244948739999998</v>
      </c>
      <c r="U156">
        <v>2.1229510459999998</v>
      </c>
      <c r="V156">
        <v>-4.0434817999999997E-2</v>
      </c>
      <c r="W156">
        <v>-6.8372392000000004E-2</v>
      </c>
      <c r="X156">
        <v>-6.2215951999999998E-2</v>
      </c>
      <c r="Y156">
        <v>-6.2180021000000002E-2</v>
      </c>
      <c r="Z156">
        <v>29</v>
      </c>
      <c r="AA156">
        <v>7</v>
      </c>
      <c r="AB156">
        <v>10</v>
      </c>
      <c r="AC156">
        <v>0</v>
      </c>
      <c r="AD156">
        <v>166</v>
      </c>
      <c r="AE156">
        <v>38</v>
      </c>
      <c r="AF156">
        <v>1.74</v>
      </c>
      <c r="AG156">
        <v>0.28000000000000003</v>
      </c>
      <c r="AH156">
        <v>0.1716</v>
      </c>
      <c r="AI156">
        <v>0</v>
      </c>
      <c r="AJ156">
        <v>0.14541599999999999</v>
      </c>
      <c r="AK156">
        <v>2.3370160000000002</v>
      </c>
    </row>
    <row r="157" spans="1:37">
      <c r="A157" t="s">
        <v>20</v>
      </c>
      <c r="B157">
        <v>39.962810019999999</v>
      </c>
      <c r="C157">
        <v>1.1855811949999999</v>
      </c>
      <c r="D157">
        <v>2.063588245</v>
      </c>
      <c r="E157">
        <v>1.0330350000000001E-3</v>
      </c>
      <c r="F157">
        <v>2.0737749700000001</v>
      </c>
      <c r="G157">
        <v>1.0516099999999999E-3</v>
      </c>
      <c r="H157">
        <v>1.0186725000000001E-2</v>
      </c>
      <c r="I157">
        <v>5.37321E-4</v>
      </c>
      <c r="J157">
        <v>37.97046082</v>
      </c>
      <c r="K157">
        <v>40.841320879999998</v>
      </c>
      <c r="L157">
        <v>40.880877699999999</v>
      </c>
      <c r="M157">
        <v>40.158580669999999</v>
      </c>
      <c r="N157">
        <v>2.0622495550000002</v>
      </c>
      <c r="O157">
        <v>2.0631995999999999</v>
      </c>
      <c r="P157">
        <v>2.0650975379999998</v>
      </c>
      <c r="Q157">
        <v>2.0638062869999998</v>
      </c>
      <c r="R157">
        <v>2.0721273990000002</v>
      </c>
      <c r="S157">
        <v>2.0743168839999999</v>
      </c>
      <c r="T157">
        <v>2.0749618879999998</v>
      </c>
      <c r="U157">
        <v>2.0736937100000001</v>
      </c>
      <c r="V157">
        <v>9.8778440000000002E-3</v>
      </c>
      <c r="W157">
        <v>1.1117284E-2</v>
      </c>
      <c r="X157">
        <v>9.8643499999999992E-3</v>
      </c>
      <c r="Y157">
        <v>9.8874229999999994E-3</v>
      </c>
      <c r="Z157">
        <v>116</v>
      </c>
      <c r="AA157">
        <v>12</v>
      </c>
      <c r="AB157">
        <v>28</v>
      </c>
      <c r="AC157">
        <v>0</v>
      </c>
      <c r="AD157">
        <v>83</v>
      </c>
      <c r="AE157">
        <v>11</v>
      </c>
      <c r="AF157">
        <v>6.96</v>
      </c>
      <c r="AG157">
        <v>0.48</v>
      </c>
      <c r="AH157">
        <v>0.48048000000000002</v>
      </c>
      <c r="AI157">
        <v>0</v>
      </c>
      <c r="AJ157">
        <v>7.2707999999999995E-2</v>
      </c>
      <c r="AK157">
        <v>7.993188</v>
      </c>
    </row>
    <row r="158" spans="1:37">
      <c r="A158" t="s">
        <v>20</v>
      </c>
      <c r="B158">
        <v>45.71017011</v>
      </c>
      <c r="C158">
        <v>0.104389842</v>
      </c>
      <c r="D158">
        <v>2.149029042</v>
      </c>
      <c r="E158">
        <v>2.2107149999999998E-3</v>
      </c>
      <c r="F158">
        <v>2.1176678309999999</v>
      </c>
      <c r="G158">
        <v>6.95724E-4</v>
      </c>
      <c r="H158">
        <v>-3.1361211E-2</v>
      </c>
      <c r="I158">
        <v>1.51819E-3</v>
      </c>
      <c r="J158">
        <v>27.957934980000001</v>
      </c>
      <c r="K158">
        <v>45.782539479999997</v>
      </c>
      <c r="L158">
        <v>45.562549949999998</v>
      </c>
      <c r="M158">
        <v>45.785420889999997</v>
      </c>
      <c r="N158">
        <v>2.093737881</v>
      </c>
      <c r="O158">
        <v>2.151305486</v>
      </c>
      <c r="P158">
        <v>2.1497466869999999</v>
      </c>
      <c r="Q158">
        <v>2.146034953</v>
      </c>
      <c r="R158">
        <v>2.081623011</v>
      </c>
      <c r="S158">
        <v>2.118328462</v>
      </c>
      <c r="T158">
        <v>2.1179689599999998</v>
      </c>
      <c r="U158">
        <v>2.1167060709999999</v>
      </c>
      <c r="V158">
        <v>-1.211487E-2</v>
      </c>
      <c r="W158">
        <v>-3.2977024000000001E-2</v>
      </c>
      <c r="X158">
        <v>-3.1777726999999999E-2</v>
      </c>
      <c r="Y158">
        <v>-2.9328882000000001E-2</v>
      </c>
      <c r="Z158">
        <v>59</v>
      </c>
      <c r="AA158">
        <v>0</v>
      </c>
      <c r="AB158">
        <v>0</v>
      </c>
      <c r="AC158">
        <v>17</v>
      </c>
      <c r="AD158">
        <v>136</v>
      </c>
      <c r="AE158">
        <v>38</v>
      </c>
      <c r="AF158">
        <v>3.54</v>
      </c>
      <c r="AG158">
        <v>0</v>
      </c>
      <c r="AH158">
        <v>0</v>
      </c>
      <c r="AI158">
        <v>0.27200000000000002</v>
      </c>
      <c r="AJ158">
        <v>0.11913600000000001</v>
      </c>
      <c r="AK158">
        <v>3.931136</v>
      </c>
    </row>
    <row r="159" spans="1:37">
      <c r="A159" t="s">
        <v>20</v>
      </c>
      <c r="B159">
        <v>79.282089080000006</v>
      </c>
      <c r="C159">
        <v>1.3383332509999999</v>
      </c>
      <c r="D159">
        <v>2.6272224670000002</v>
      </c>
      <c r="E159">
        <v>7.1673250000000004E-3</v>
      </c>
      <c r="F159">
        <v>2.5390839170000001</v>
      </c>
      <c r="G159">
        <v>7.2586789999999997E-3</v>
      </c>
      <c r="H159">
        <v>-8.8138549999999996E-2</v>
      </c>
      <c r="I159">
        <v>6.8067799999999999E-4</v>
      </c>
      <c r="J159">
        <v>88.100698399999999</v>
      </c>
      <c r="K159">
        <v>80.250984709999997</v>
      </c>
      <c r="L159">
        <v>80.205701910000002</v>
      </c>
      <c r="M159">
        <v>77.389580620000004</v>
      </c>
      <c r="N159">
        <v>1.9213198039999999</v>
      </c>
      <c r="O159">
        <v>2.6372286890000001</v>
      </c>
      <c r="P159">
        <v>2.6236202359999998</v>
      </c>
      <c r="Q159">
        <v>2.6208184769999998</v>
      </c>
      <c r="R159">
        <v>2.5826426009999999</v>
      </c>
      <c r="S159">
        <v>2.5493263979999998</v>
      </c>
      <c r="T159">
        <v>2.5345553980000002</v>
      </c>
      <c r="U159">
        <v>2.533369956</v>
      </c>
      <c r="V159">
        <v>0.66132279699999996</v>
      </c>
      <c r="W159">
        <v>-8.7902290999999994E-2</v>
      </c>
      <c r="X159">
        <v>-8.9064837999999993E-2</v>
      </c>
      <c r="Y159">
        <v>-8.7448521000000001E-2</v>
      </c>
      <c r="Z159">
        <v>0</v>
      </c>
      <c r="AA159">
        <v>69</v>
      </c>
      <c r="AB159">
        <v>32</v>
      </c>
      <c r="AC159">
        <v>7</v>
      </c>
      <c r="AD159">
        <v>34</v>
      </c>
      <c r="AE159">
        <v>108</v>
      </c>
      <c r="AF159">
        <v>0</v>
      </c>
      <c r="AG159">
        <v>2.76</v>
      </c>
      <c r="AH159">
        <v>0.54912000000000005</v>
      </c>
      <c r="AI159">
        <v>0.112</v>
      </c>
      <c r="AJ159">
        <v>2.9784000000000001E-2</v>
      </c>
      <c r="AK159">
        <v>3.450904</v>
      </c>
    </row>
    <row r="160" spans="1:37">
      <c r="A160" t="s">
        <v>20</v>
      </c>
      <c r="B160">
        <v>61.448816549999997</v>
      </c>
      <c r="C160">
        <v>0.48353980499999999</v>
      </c>
      <c r="D160">
        <v>2.0633549000000002</v>
      </c>
      <c r="E160">
        <v>1.7851799999999999E-3</v>
      </c>
      <c r="F160">
        <v>2.0735263119999998</v>
      </c>
      <c r="G160">
        <v>1.431613E-3</v>
      </c>
      <c r="H160">
        <v>1.0171411999999999E-2</v>
      </c>
      <c r="I160">
        <v>5.5468100000000001E-4</v>
      </c>
      <c r="J160">
        <v>62.28632133</v>
      </c>
      <c r="K160">
        <v>61.16824802</v>
      </c>
      <c r="L160">
        <v>61.167106709999999</v>
      </c>
      <c r="M160">
        <v>61.173590130000001</v>
      </c>
      <c r="N160">
        <v>2.0622876460000001</v>
      </c>
      <c r="O160">
        <v>2.0653872789999999</v>
      </c>
      <c r="P160">
        <v>2.0647447880000001</v>
      </c>
      <c r="Q160">
        <v>2.0609998859999998</v>
      </c>
      <c r="R160">
        <v>2.0720984470000001</v>
      </c>
      <c r="S160">
        <v>2.0752745030000002</v>
      </c>
      <c r="T160">
        <v>2.07460142</v>
      </c>
      <c r="U160">
        <v>2.0721308779999998</v>
      </c>
      <c r="V160">
        <v>9.8108009999999992E-3</v>
      </c>
      <c r="W160">
        <v>9.887224E-3</v>
      </c>
      <c r="X160">
        <v>9.8566320000000006E-3</v>
      </c>
      <c r="Y160">
        <v>1.1130991999999999E-2</v>
      </c>
      <c r="Z160">
        <v>60</v>
      </c>
      <c r="AA160">
        <v>16</v>
      </c>
      <c r="AB160">
        <v>93</v>
      </c>
      <c r="AC160">
        <v>0</v>
      </c>
      <c r="AD160">
        <v>32</v>
      </c>
      <c r="AE160">
        <v>49</v>
      </c>
      <c r="AF160">
        <v>3.6</v>
      </c>
      <c r="AG160">
        <v>0.64</v>
      </c>
      <c r="AH160">
        <v>1.59588</v>
      </c>
      <c r="AI160">
        <v>0</v>
      </c>
      <c r="AJ160">
        <v>2.8032000000000001E-2</v>
      </c>
      <c r="AK160">
        <v>5.863912</v>
      </c>
    </row>
    <row r="161" spans="1:37">
      <c r="A161" t="s">
        <v>20</v>
      </c>
      <c r="B161">
        <v>29.322925900000001</v>
      </c>
      <c r="C161">
        <v>0.508586494</v>
      </c>
      <c r="D161">
        <v>2.136513017</v>
      </c>
      <c r="E161">
        <v>1.636352E-3</v>
      </c>
      <c r="F161">
        <v>2.1259770929999999</v>
      </c>
      <c r="G161">
        <v>9.1598489999999994E-3</v>
      </c>
      <c r="H161">
        <v>-1.0535925E-2</v>
      </c>
      <c r="I161">
        <v>8.0210160000000006E-3</v>
      </c>
      <c r="J161">
        <v>28.884694490000001</v>
      </c>
      <c r="K161">
        <v>29.707921509999998</v>
      </c>
      <c r="L161">
        <v>29.938167400000001</v>
      </c>
      <c r="M161">
        <v>28.760920209999998</v>
      </c>
      <c r="N161">
        <v>2.1345908429999998</v>
      </c>
      <c r="O161">
        <v>2.1387035160000001</v>
      </c>
      <c r="P161">
        <v>2.137423257</v>
      </c>
      <c r="Q161">
        <v>2.1353344519999999</v>
      </c>
      <c r="R161">
        <v>2.1102495129999999</v>
      </c>
      <c r="S161">
        <v>2.1315029600000002</v>
      </c>
      <c r="T161">
        <v>2.1327634579999999</v>
      </c>
      <c r="U161">
        <v>2.1293924390000001</v>
      </c>
      <c r="V161">
        <v>-2.4341330000000001E-2</v>
      </c>
      <c r="W161">
        <v>-7.2005560000000003E-3</v>
      </c>
      <c r="X161">
        <v>-4.6597990000000001E-3</v>
      </c>
      <c r="Y161">
        <v>-5.9420130000000003E-3</v>
      </c>
      <c r="Z161">
        <v>14</v>
      </c>
      <c r="AA161">
        <v>0</v>
      </c>
      <c r="AB161">
        <v>10</v>
      </c>
      <c r="AC161">
        <v>44</v>
      </c>
      <c r="AD161">
        <v>136</v>
      </c>
      <c r="AE161">
        <v>46</v>
      </c>
      <c r="AF161">
        <v>0.84</v>
      </c>
      <c r="AG161">
        <v>0</v>
      </c>
      <c r="AH161">
        <v>0.1716</v>
      </c>
      <c r="AI161">
        <v>0.70399999999999996</v>
      </c>
      <c r="AJ161">
        <v>0.11913600000000001</v>
      </c>
      <c r="AK161">
        <v>1.8347359999999999</v>
      </c>
    </row>
    <row r="162" spans="1:37">
      <c r="A162" t="s">
        <v>20</v>
      </c>
      <c r="B162">
        <v>70.441567699999993</v>
      </c>
      <c r="C162">
        <v>0.51653276100000001</v>
      </c>
      <c r="D162">
        <v>2.78316951</v>
      </c>
      <c r="E162">
        <v>0.16425697</v>
      </c>
      <c r="F162">
        <v>2.7252480349999999</v>
      </c>
      <c r="G162">
        <v>0.166993005</v>
      </c>
      <c r="H162">
        <v>-5.7921475E-2</v>
      </c>
      <c r="I162">
        <v>2.8961949999999998E-3</v>
      </c>
      <c r="J162">
        <v>70.617524200000005</v>
      </c>
      <c r="K162">
        <v>70.440243659999993</v>
      </c>
      <c r="L162">
        <v>69.639753859999999</v>
      </c>
      <c r="M162">
        <v>71.068749089999997</v>
      </c>
      <c r="N162">
        <v>2.6159732899999999</v>
      </c>
      <c r="O162">
        <v>2.6233846349999999</v>
      </c>
      <c r="P162">
        <v>2.9245545339999999</v>
      </c>
      <c r="Q162">
        <v>2.968765581</v>
      </c>
      <c r="R162">
        <v>2.5539747739999998</v>
      </c>
      <c r="S162">
        <v>2.564164807</v>
      </c>
      <c r="T162">
        <v>2.8686897340000002</v>
      </c>
      <c r="U162">
        <v>2.9141628239999999</v>
      </c>
      <c r="V162">
        <v>-6.1998515999999997E-2</v>
      </c>
      <c r="W162">
        <v>-5.9219828000000002E-2</v>
      </c>
      <c r="X162">
        <v>-5.5864799999999999E-2</v>
      </c>
      <c r="Y162">
        <v>-5.4602757000000002E-2</v>
      </c>
      <c r="Z162">
        <v>0</v>
      </c>
      <c r="AA162">
        <v>76</v>
      </c>
      <c r="AB162">
        <v>31</v>
      </c>
      <c r="AC162">
        <v>61</v>
      </c>
      <c r="AD162">
        <v>19</v>
      </c>
      <c r="AE162">
        <v>63</v>
      </c>
      <c r="AF162">
        <v>0</v>
      </c>
      <c r="AG162">
        <v>3.04</v>
      </c>
      <c r="AH162">
        <v>0.53195999999999999</v>
      </c>
      <c r="AI162">
        <v>0.97599999999999998</v>
      </c>
      <c r="AJ162">
        <v>1.6643999999999999E-2</v>
      </c>
      <c r="AK162">
        <v>4.5646040000000001</v>
      </c>
    </row>
    <row r="163" spans="1:37">
      <c r="A163" t="s">
        <v>20</v>
      </c>
      <c r="B163">
        <v>47.437479250000003</v>
      </c>
      <c r="C163">
        <v>3.6789540500000002</v>
      </c>
      <c r="D163">
        <v>2.0693019239999999</v>
      </c>
      <c r="E163">
        <v>3.0337440000000001E-3</v>
      </c>
      <c r="F163">
        <v>2.0810160240000002</v>
      </c>
      <c r="G163">
        <v>3.8936600000000002E-3</v>
      </c>
      <c r="H163">
        <v>1.17141E-2</v>
      </c>
      <c r="I163">
        <v>1.0311649999999999E-3</v>
      </c>
      <c r="J163">
        <v>41.156727619999998</v>
      </c>
      <c r="K163">
        <v>50.264736679999999</v>
      </c>
      <c r="L163">
        <v>48.558307630000002</v>
      </c>
      <c r="M163">
        <v>49.770145050000004</v>
      </c>
      <c r="N163">
        <v>2.0652339020000001</v>
      </c>
      <c r="O163">
        <v>2.0675272389999999</v>
      </c>
      <c r="P163">
        <v>2.0720691570000001</v>
      </c>
      <c r="Q163">
        <v>2.0723773969999999</v>
      </c>
      <c r="R163">
        <v>2.0751621669999998</v>
      </c>
      <c r="S163">
        <v>2.0798144710000002</v>
      </c>
      <c r="T163">
        <v>2.0843995510000002</v>
      </c>
      <c r="U163">
        <v>2.0846879060000001</v>
      </c>
      <c r="V163">
        <v>9.9282650000000004E-3</v>
      </c>
      <c r="W163">
        <v>1.2287232E-2</v>
      </c>
      <c r="X163">
        <v>1.2330394E-2</v>
      </c>
      <c r="Y163">
        <v>1.2310509000000001E-2</v>
      </c>
      <c r="Z163">
        <v>65</v>
      </c>
      <c r="AA163">
        <v>31</v>
      </c>
      <c r="AB163">
        <v>0</v>
      </c>
      <c r="AC163">
        <v>10</v>
      </c>
      <c r="AD163">
        <v>124</v>
      </c>
      <c r="AE163">
        <v>20</v>
      </c>
      <c r="AF163">
        <v>3.9</v>
      </c>
      <c r="AG163">
        <v>1.24</v>
      </c>
      <c r="AH163">
        <v>0</v>
      </c>
      <c r="AI163">
        <v>0.16</v>
      </c>
      <c r="AJ163">
        <v>0.108624</v>
      </c>
      <c r="AK163">
        <v>5.4086239999999997</v>
      </c>
    </row>
    <row r="164" spans="1:37">
      <c r="A164" t="s">
        <v>20</v>
      </c>
      <c r="B164">
        <v>77.778280330000001</v>
      </c>
      <c r="C164">
        <v>0.95114401199999998</v>
      </c>
      <c r="D164">
        <v>2.0927303519999998</v>
      </c>
      <c r="E164">
        <v>5.3522200000000002E-4</v>
      </c>
      <c r="F164">
        <v>2.102978142</v>
      </c>
      <c r="G164">
        <v>1.0818729999999999E-3</v>
      </c>
      <c r="H164">
        <v>1.024779E-2</v>
      </c>
      <c r="I164">
        <v>5.6594999999999996E-4</v>
      </c>
      <c r="J164">
        <v>79.355379510000006</v>
      </c>
      <c r="K164">
        <v>77.032319619999996</v>
      </c>
      <c r="L164">
        <v>77.701536219999994</v>
      </c>
      <c r="M164">
        <v>77.023885960000001</v>
      </c>
      <c r="N164">
        <v>2.0935844160000001</v>
      </c>
      <c r="O164">
        <v>2.0921539290000002</v>
      </c>
      <c r="P164">
        <v>2.0927425569999998</v>
      </c>
      <c r="Q164">
        <v>2.0924405049999999</v>
      </c>
      <c r="R164">
        <v>2.1048121530000001</v>
      </c>
      <c r="S164">
        <v>2.1020586510000001</v>
      </c>
      <c r="T164">
        <v>2.1026860580000002</v>
      </c>
      <c r="U164">
        <v>2.1023557049999999</v>
      </c>
      <c r="V164">
        <v>1.1227737E-2</v>
      </c>
      <c r="W164">
        <v>9.9047219999999995E-3</v>
      </c>
      <c r="X164">
        <v>9.9435010000000004E-3</v>
      </c>
      <c r="Y164">
        <v>9.9152000000000007E-3</v>
      </c>
      <c r="Z164">
        <v>34</v>
      </c>
      <c r="AA164">
        <v>71</v>
      </c>
      <c r="AB164">
        <v>34</v>
      </c>
      <c r="AC164">
        <v>8</v>
      </c>
      <c r="AD164">
        <v>19</v>
      </c>
      <c r="AE164">
        <v>84</v>
      </c>
      <c r="AF164">
        <v>2.04</v>
      </c>
      <c r="AG164">
        <v>2.84</v>
      </c>
      <c r="AH164">
        <v>0.58343999999999996</v>
      </c>
      <c r="AI164">
        <v>0.128</v>
      </c>
      <c r="AJ164">
        <v>1.6643999999999999E-2</v>
      </c>
      <c r="AK164">
        <v>5.6080839999999998</v>
      </c>
    </row>
    <row r="165" spans="1:37">
      <c r="A165" t="s">
        <v>20</v>
      </c>
      <c r="B165">
        <v>71.149315029999997</v>
      </c>
      <c r="C165">
        <v>2.1830589009999999</v>
      </c>
      <c r="D165">
        <v>2.0914082399999998</v>
      </c>
      <c r="E165">
        <v>1.440974E-3</v>
      </c>
      <c r="F165">
        <v>2.1016411540000002</v>
      </c>
      <c r="G165">
        <v>1.8988259999999999E-3</v>
      </c>
      <c r="H165">
        <v>1.0232913999999999E-2</v>
      </c>
      <c r="I165">
        <v>5.4697800000000005E-4</v>
      </c>
      <c r="J165">
        <v>67.842726459999994</v>
      </c>
      <c r="K165">
        <v>73.476102069999996</v>
      </c>
      <c r="L165">
        <v>70.581975689999993</v>
      </c>
      <c r="M165">
        <v>72.696455889999996</v>
      </c>
      <c r="N165">
        <v>2.093397457</v>
      </c>
      <c r="O165">
        <v>2.0894345329999999</v>
      </c>
      <c r="P165">
        <v>2.0909245649999999</v>
      </c>
      <c r="Q165">
        <v>2.0918764059999999</v>
      </c>
      <c r="R165">
        <v>2.104577398</v>
      </c>
      <c r="S165">
        <v>2.099372244</v>
      </c>
      <c r="T165">
        <v>2.1008438030000001</v>
      </c>
      <c r="U165">
        <v>2.1017711729999999</v>
      </c>
      <c r="V165">
        <v>1.1179941000000001E-2</v>
      </c>
      <c r="W165">
        <v>9.9377110000000001E-3</v>
      </c>
      <c r="X165">
        <v>9.9192380000000004E-3</v>
      </c>
      <c r="Y165">
        <v>9.8947670000000005E-3</v>
      </c>
      <c r="Z165">
        <v>6</v>
      </c>
      <c r="AA165">
        <v>20</v>
      </c>
      <c r="AB165">
        <v>61</v>
      </c>
      <c r="AC165">
        <v>18</v>
      </c>
      <c r="AD165">
        <v>112</v>
      </c>
      <c r="AE165">
        <v>33</v>
      </c>
      <c r="AF165">
        <v>0.36</v>
      </c>
      <c r="AG165">
        <v>0.8</v>
      </c>
      <c r="AH165">
        <v>1.0467599999999999</v>
      </c>
      <c r="AI165">
        <v>0.28799999999999998</v>
      </c>
      <c r="AJ165">
        <v>9.8112000000000005E-2</v>
      </c>
      <c r="AK165">
        <v>2.5928719999999998</v>
      </c>
    </row>
    <row r="166" spans="1:37">
      <c r="A166" t="s">
        <v>20</v>
      </c>
      <c r="B166">
        <v>61.31312449</v>
      </c>
      <c r="C166">
        <v>0.49961910599999998</v>
      </c>
      <c r="D166">
        <v>2.0674174870000002</v>
      </c>
      <c r="E166">
        <v>1.9852979999999999E-3</v>
      </c>
      <c r="F166">
        <v>2.0774043959999999</v>
      </c>
      <c r="G166">
        <v>2.000384E-3</v>
      </c>
      <c r="H166">
        <v>9.9869090000000004E-3</v>
      </c>
      <c r="I166" s="5" t="s">
        <v>81</v>
      </c>
      <c r="J166">
        <v>59.913109370000001</v>
      </c>
      <c r="K166">
        <v>60.821322029999997</v>
      </c>
      <c r="L166">
        <v>61.119677750000001</v>
      </c>
      <c r="M166">
        <v>61.99837368</v>
      </c>
      <c r="N166">
        <v>1.564053366</v>
      </c>
      <c r="O166">
        <v>2.0673992189999999</v>
      </c>
      <c r="P166">
        <v>2.0649951889999998</v>
      </c>
      <c r="Q166">
        <v>2.0698580529999999</v>
      </c>
      <c r="R166">
        <v>1.573994479</v>
      </c>
      <c r="S166">
        <v>2.0773759489999999</v>
      </c>
      <c r="T166">
        <v>2.0749687840000002</v>
      </c>
      <c r="U166">
        <v>2.0798684559999998</v>
      </c>
      <c r="V166">
        <v>9.9411129999999997E-3</v>
      </c>
      <c r="W166">
        <v>9.9767299999999996E-3</v>
      </c>
      <c r="X166">
        <v>9.973595E-3</v>
      </c>
      <c r="Y166">
        <v>1.0010402999999999E-2</v>
      </c>
      <c r="Z166">
        <v>5</v>
      </c>
      <c r="AA166">
        <v>97</v>
      </c>
      <c r="AB166">
        <v>43</v>
      </c>
      <c r="AC166">
        <v>75</v>
      </c>
      <c r="AD166">
        <v>0</v>
      </c>
      <c r="AE166">
        <v>30</v>
      </c>
      <c r="AF166">
        <v>0.3</v>
      </c>
      <c r="AG166">
        <v>3.88</v>
      </c>
      <c r="AH166">
        <v>0.73787999999999998</v>
      </c>
      <c r="AI166">
        <v>1.2</v>
      </c>
      <c r="AJ166">
        <v>0</v>
      </c>
      <c r="AK166">
        <v>6.1178800000000004</v>
      </c>
    </row>
    <row r="167" spans="1:37">
      <c r="A167" t="s">
        <v>20</v>
      </c>
      <c r="B167">
        <v>42.108529910000001</v>
      </c>
      <c r="C167">
        <v>1.050212267</v>
      </c>
      <c r="D167">
        <v>2.036117172</v>
      </c>
      <c r="E167">
        <v>8.0214999999999996E-4</v>
      </c>
      <c r="F167">
        <v>2.0463054559999998</v>
      </c>
      <c r="G167">
        <v>7.7147399999999997E-4</v>
      </c>
      <c r="H167">
        <v>1.0188285E-2</v>
      </c>
      <c r="I167">
        <v>5.4984100000000002E-4</v>
      </c>
      <c r="J167">
        <v>40.449090660000003</v>
      </c>
      <c r="K167">
        <v>42.20111953</v>
      </c>
      <c r="L167">
        <v>42.432627580000002</v>
      </c>
      <c r="M167">
        <v>43.351281880000002</v>
      </c>
      <c r="N167">
        <v>2.0372670460000002</v>
      </c>
      <c r="O167">
        <v>2.0355094629999999</v>
      </c>
      <c r="P167">
        <v>2.035239754</v>
      </c>
      <c r="Q167">
        <v>2.0364524230000001</v>
      </c>
      <c r="R167">
        <v>2.0471767359999999</v>
      </c>
      <c r="S167">
        <v>2.046649103</v>
      </c>
      <c r="T167">
        <v>2.0450793470000002</v>
      </c>
      <c r="U167">
        <v>2.046316639</v>
      </c>
      <c r="V167">
        <v>9.9096900000000005E-3</v>
      </c>
      <c r="W167">
        <v>1.1139639999999999E-2</v>
      </c>
      <c r="X167">
        <v>9.8395930000000006E-3</v>
      </c>
      <c r="Y167">
        <v>9.8642160000000003E-3</v>
      </c>
      <c r="Z167">
        <v>82</v>
      </c>
      <c r="AA167">
        <v>7</v>
      </c>
      <c r="AB167">
        <v>131</v>
      </c>
      <c r="AC167">
        <v>0</v>
      </c>
      <c r="AD167">
        <v>16</v>
      </c>
      <c r="AE167">
        <v>14</v>
      </c>
      <c r="AF167">
        <v>4.92</v>
      </c>
      <c r="AG167">
        <v>0.28000000000000003</v>
      </c>
      <c r="AH167">
        <v>2.24796</v>
      </c>
      <c r="AI167">
        <v>0</v>
      </c>
      <c r="AJ167">
        <v>1.4016000000000001E-2</v>
      </c>
      <c r="AK167">
        <v>7.4619759999999999</v>
      </c>
    </row>
    <row r="168" spans="1:37">
      <c r="A168" t="s">
        <v>20</v>
      </c>
      <c r="B168">
        <v>74.655160519999995</v>
      </c>
      <c r="C168">
        <v>0.94307731900000003</v>
      </c>
      <c r="D168">
        <v>2.6233509449999999</v>
      </c>
      <c r="E168">
        <v>3.1692529999999999E-3</v>
      </c>
      <c r="F168">
        <v>2.583853645</v>
      </c>
      <c r="G168">
        <v>3.4650850000000001E-3</v>
      </c>
      <c r="H168">
        <v>-3.9497299999999999E-2</v>
      </c>
      <c r="I168">
        <v>1.058635E-3</v>
      </c>
      <c r="J168">
        <v>73.396607399999994</v>
      </c>
      <c r="K168">
        <v>74.667299499999999</v>
      </c>
      <c r="L168">
        <v>74.504836100000006</v>
      </c>
      <c r="M168">
        <v>76.051899070000005</v>
      </c>
      <c r="N168">
        <v>2.6194077299999998</v>
      </c>
      <c r="O168">
        <v>2.6217302899999999</v>
      </c>
      <c r="P168">
        <v>2.627938823</v>
      </c>
      <c r="Q168">
        <v>2.6243269370000002</v>
      </c>
      <c r="R168">
        <v>2.5789427950000001</v>
      </c>
      <c r="S168">
        <v>2.5838374640000001</v>
      </c>
      <c r="T168">
        <v>2.5887433450000001</v>
      </c>
      <c r="U168">
        <v>2.5838909769999998</v>
      </c>
      <c r="V168">
        <v>-4.0464935E-2</v>
      </c>
      <c r="W168">
        <v>-3.7892825999999998E-2</v>
      </c>
      <c r="X168">
        <v>-3.9195477999999999E-2</v>
      </c>
      <c r="Y168">
        <v>-4.043596E-2</v>
      </c>
      <c r="Z168">
        <v>0</v>
      </c>
      <c r="AA168">
        <v>0</v>
      </c>
      <c r="AB168">
        <v>139</v>
      </c>
      <c r="AC168">
        <v>23</v>
      </c>
      <c r="AD168">
        <v>0</v>
      </c>
      <c r="AE168">
        <v>88</v>
      </c>
      <c r="AF168">
        <v>0</v>
      </c>
      <c r="AG168">
        <v>0</v>
      </c>
      <c r="AH168">
        <v>2.38524</v>
      </c>
      <c r="AI168">
        <v>0.36799999999999999</v>
      </c>
      <c r="AJ168">
        <v>0</v>
      </c>
      <c r="AK168">
        <v>2.7532399999999999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9EB7-6AF9-8A4A-9F80-D713A44FBC6A}">
  <dimension ref="A1:AI116"/>
  <sheetViews>
    <sheetView topLeftCell="Y1" workbookViewId="0">
      <selection activeCell="AJ3" sqref="AJ3"/>
    </sheetView>
  </sheetViews>
  <sheetFormatPr baseColWidth="10" defaultRowHeight="16"/>
  <sheetData>
    <row r="1" spans="1:35">
      <c r="A1" t="s">
        <v>0</v>
      </c>
      <c r="B1" t="s">
        <v>1</v>
      </c>
      <c r="C1" t="s">
        <v>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</v>
      </c>
      <c r="K1" t="s">
        <v>4</v>
      </c>
      <c r="L1" t="s">
        <v>5</v>
      </c>
      <c r="M1" t="s">
        <v>6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7</v>
      </c>
      <c r="AA1" t="s">
        <v>8</v>
      </c>
      <c r="AB1" t="s">
        <v>9</v>
      </c>
      <c r="AC1" t="s">
        <v>10</v>
      </c>
      <c r="AD1" t="s">
        <v>12</v>
      </c>
      <c r="AE1" t="s">
        <v>13</v>
      </c>
      <c r="AF1" t="s">
        <v>14</v>
      </c>
      <c r="AG1" t="s">
        <v>15</v>
      </c>
      <c r="AH1" t="s">
        <v>16</v>
      </c>
      <c r="AI1" t="s">
        <v>18</v>
      </c>
    </row>
    <row r="2" spans="1:35">
      <c r="A2" t="s">
        <v>19</v>
      </c>
      <c r="B2">
        <v>66.723356899999999</v>
      </c>
      <c r="C2">
        <v>0.76843860100000005</v>
      </c>
      <c r="D2">
        <v>2.3354100390000001</v>
      </c>
      <c r="E2">
        <v>0.124387864</v>
      </c>
      <c r="F2">
        <v>2.2962532819999999</v>
      </c>
      <c r="G2">
        <v>0.12423836100000001</v>
      </c>
      <c r="H2">
        <v>-3.9156757E-2</v>
      </c>
      <c r="I2">
        <v>5.4462399999999995E-4</v>
      </c>
      <c r="J2">
        <v>65.629018070000001</v>
      </c>
      <c r="K2">
        <v>66.87354483</v>
      </c>
      <c r="L2">
        <v>67.785409970000003</v>
      </c>
      <c r="M2">
        <v>66.605454739999999</v>
      </c>
      <c r="N2">
        <v>2.5496510059999999</v>
      </c>
      <c r="O2">
        <v>2.2812075410000001</v>
      </c>
      <c r="P2">
        <v>2.2442979150000002</v>
      </c>
      <c r="Q2">
        <v>2.2664836940000002</v>
      </c>
      <c r="R2">
        <v>2.5101566210000001</v>
      </c>
      <c r="S2">
        <v>2.2429937689999999</v>
      </c>
      <c r="T2">
        <v>2.2048352499999999</v>
      </c>
      <c r="U2">
        <v>2.2270274890000001</v>
      </c>
      <c r="V2">
        <v>-3.9494385E-2</v>
      </c>
      <c r="W2">
        <v>-3.8213772E-2</v>
      </c>
      <c r="X2">
        <v>-3.9462665000000001E-2</v>
      </c>
      <c r="Y2">
        <v>-3.9456205000000001E-2</v>
      </c>
      <c r="Z2">
        <v>5</v>
      </c>
      <c r="AA2">
        <v>105</v>
      </c>
      <c r="AB2">
        <v>54</v>
      </c>
      <c r="AC2">
        <v>63</v>
      </c>
      <c r="AD2">
        <v>23</v>
      </c>
      <c r="AE2">
        <v>0.3</v>
      </c>
      <c r="AF2">
        <v>1.68</v>
      </c>
      <c r="AG2">
        <v>0.75600000000000001</v>
      </c>
      <c r="AH2">
        <v>5.5188000000000001E-2</v>
      </c>
      <c r="AI2">
        <v>2.791188</v>
      </c>
    </row>
    <row r="3" spans="1:35">
      <c r="A3" t="s">
        <v>19</v>
      </c>
      <c r="B3">
        <v>55.61360415</v>
      </c>
      <c r="C3">
        <v>3.5388348920000001</v>
      </c>
      <c r="D3">
        <v>2.1190097059999999</v>
      </c>
      <c r="E3">
        <v>3.6859905999999998E-2</v>
      </c>
      <c r="F3">
        <v>2.1298817209999998</v>
      </c>
      <c r="G3">
        <v>3.7416902000000002E-2</v>
      </c>
      <c r="H3">
        <v>1.0872015E-2</v>
      </c>
      <c r="I3">
        <v>7.6657299999999999E-4</v>
      </c>
      <c r="J3">
        <v>57.657365030000001</v>
      </c>
      <c r="K3">
        <v>49.509582029999997</v>
      </c>
      <c r="L3">
        <v>58.098984309999999</v>
      </c>
      <c r="M3">
        <v>57.188485239999999</v>
      </c>
      <c r="N3">
        <v>2.0847982090000001</v>
      </c>
      <c r="O3">
        <v>2.0796150309999999</v>
      </c>
      <c r="P3">
        <v>2.1545264419999999</v>
      </c>
      <c r="Q3">
        <v>2.1570991429999999</v>
      </c>
      <c r="R3">
        <v>2.0946677280000001</v>
      </c>
      <c r="S3">
        <v>2.0903709300000002</v>
      </c>
      <c r="T3">
        <v>2.1653634510000002</v>
      </c>
      <c r="U3">
        <v>2.1691247740000001</v>
      </c>
      <c r="V3">
        <v>9.8695190000000002E-3</v>
      </c>
      <c r="W3">
        <v>1.0755898999999999E-2</v>
      </c>
      <c r="X3">
        <v>1.0837009E-2</v>
      </c>
      <c r="Y3">
        <v>1.2025631E-2</v>
      </c>
      <c r="Z3">
        <v>55</v>
      </c>
      <c r="AA3">
        <v>100</v>
      </c>
      <c r="AB3">
        <v>57</v>
      </c>
      <c r="AC3">
        <v>11</v>
      </c>
      <c r="AD3">
        <v>27</v>
      </c>
      <c r="AE3">
        <v>3.3</v>
      </c>
      <c r="AF3">
        <v>1.6</v>
      </c>
      <c r="AG3">
        <v>0.79800000000000004</v>
      </c>
      <c r="AH3">
        <v>9.6360000000000005E-3</v>
      </c>
      <c r="AI3">
        <v>5.7076359999999999</v>
      </c>
    </row>
    <row r="4" spans="1:35">
      <c r="A4" t="s">
        <v>19</v>
      </c>
      <c r="B4">
        <v>66.478182709999999</v>
      </c>
      <c r="C4">
        <v>2.750594574</v>
      </c>
      <c r="D4">
        <v>2.1807077960000001</v>
      </c>
      <c r="E4">
        <v>1.3808503E-2</v>
      </c>
      <c r="F4">
        <v>2.156863822</v>
      </c>
      <c r="G4">
        <v>8.7742830000000008E-3</v>
      </c>
      <c r="H4">
        <v>-2.3843974E-2</v>
      </c>
      <c r="I4">
        <v>2.0190178E-2</v>
      </c>
      <c r="J4">
        <v>68.197555859999994</v>
      </c>
      <c r="K4">
        <v>61.716938380000002</v>
      </c>
      <c r="L4">
        <v>67.925293249999996</v>
      </c>
      <c r="M4">
        <v>68.072943359999996</v>
      </c>
      <c r="N4">
        <v>2.1590101509999999</v>
      </c>
      <c r="O4">
        <v>2.1969901900000002</v>
      </c>
      <c r="P4">
        <v>2.1858783860000002</v>
      </c>
      <c r="Q4">
        <v>2.180952456</v>
      </c>
      <c r="R4">
        <v>2.1698016830000002</v>
      </c>
      <c r="S4">
        <v>2.1599383429999999</v>
      </c>
      <c r="T4">
        <v>2.1476507690000002</v>
      </c>
      <c r="U4">
        <v>2.1500644910000002</v>
      </c>
      <c r="V4">
        <v>1.0791532E-2</v>
      </c>
      <c r="W4">
        <v>-3.7051846999999999E-2</v>
      </c>
      <c r="X4">
        <v>-3.8227616999999998E-2</v>
      </c>
      <c r="Y4">
        <v>-3.0887965E-2</v>
      </c>
      <c r="Z4">
        <v>26</v>
      </c>
      <c r="AA4">
        <v>31</v>
      </c>
      <c r="AB4">
        <v>19</v>
      </c>
      <c r="AC4">
        <v>8</v>
      </c>
      <c r="AD4">
        <v>166</v>
      </c>
      <c r="AE4">
        <v>1.56</v>
      </c>
      <c r="AF4">
        <v>0.496</v>
      </c>
      <c r="AG4">
        <v>0.26600000000000001</v>
      </c>
      <c r="AH4">
        <v>7.0080000000000003E-3</v>
      </c>
      <c r="AI4">
        <v>2.329008</v>
      </c>
    </row>
    <row r="5" spans="1:35">
      <c r="A5" t="s">
        <v>19</v>
      </c>
      <c r="B5">
        <v>31.552604120000002</v>
      </c>
      <c r="C5">
        <v>1.2905563330000001</v>
      </c>
      <c r="D5">
        <v>2.1561786280000002</v>
      </c>
      <c r="E5">
        <v>3.5740450999999999E-2</v>
      </c>
      <c r="F5">
        <v>2.1669947299999999</v>
      </c>
      <c r="G5">
        <v>3.5741307999999999E-2</v>
      </c>
      <c r="H5">
        <v>1.0816101999999999E-2</v>
      </c>
      <c r="I5" s="5" t="s">
        <v>83</v>
      </c>
      <c r="J5">
        <v>31.84129167</v>
      </c>
      <c r="K5">
        <v>29.371587550000001</v>
      </c>
      <c r="L5">
        <v>32.373241149999998</v>
      </c>
      <c r="M5">
        <v>32.624296090000001</v>
      </c>
      <c r="N5">
        <v>2.0943297740000002</v>
      </c>
      <c r="O5">
        <v>2.174325767</v>
      </c>
      <c r="P5">
        <v>2.178033417</v>
      </c>
      <c r="Q5">
        <v>2.1780255529999999</v>
      </c>
      <c r="R5">
        <v>2.1051435810000001</v>
      </c>
      <c r="S5">
        <v>2.1851607500000001</v>
      </c>
      <c r="T5">
        <v>2.1888438460000001</v>
      </c>
      <c r="U5">
        <v>2.1888307440000001</v>
      </c>
      <c r="V5">
        <v>1.0813807E-2</v>
      </c>
      <c r="W5">
        <v>1.0834982999999999E-2</v>
      </c>
      <c r="X5">
        <v>1.0810429E-2</v>
      </c>
      <c r="Y5">
        <v>1.0805191E-2</v>
      </c>
      <c r="Z5">
        <v>77</v>
      </c>
      <c r="AA5">
        <v>100</v>
      </c>
      <c r="AB5">
        <v>25</v>
      </c>
      <c r="AC5">
        <v>48</v>
      </c>
      <c r="AD5">
        <v>0</v>
      </c>
      <c r="AE5">
        <v>4.62</v>
      </c>
      <c r="AF5">
        <v>1.6</v>
      </c>
      <c r="AG5">
        <v>0.35</v>
      </c>
      <c r="AH5">
        <v>4.2048000000000002E-2</v>
      </c>
      <c r="AI5">
        <v>6.6120479999999997</v>
      </c>
    </row>
    <row r="6" spans="1:35">
      <c r="A6" t="s">
        <v>19</v>
      </c>
      <c r="B6">
        <v>36.669654970000003</v>
      </c>
      <c r="C6">
        <v>0.88279792899999998</v>
      </c>
      <c r="D6">
        <v>2.1910934960000001</v>
      </c>
      <c r="E6">
        <v>1.6209359E-2</v>
      </c>
      <c r="F6">
        <v>2.1519345319999998</v>
      </c>
      <c r="G6">
        <v>1.6065703000000001E-2</v>
      </c>
      <c r="H6">
        <v>-3.9158963999999997E-2</v>
      </c>
      <c r="I6">
        <v>5.0682699999999995E-4</v>
      </c>
      <c r="J6">
        <v>35.352022169999998</v>
      </c>
      <c r="K6">
        <v>37.413804509999999</v>
      </c>
      <c r="L6">
        <v>37.532145010000001</v>
      </c>
      <c r="M6">
        <v>36.380648170000001</v>
      </c>
      <c r="N6">
        <v>2.2190768730000001</v>
      </c>
      <c r="O6">
        <v>2.1833690639999999</v>
      </c>
      <c r="P6">
        <v>2.1797342579999999</v>
      </c>
      <c r="Q6">
        <v>2.1821937889999998</v>
      </c>
      <c r="R6">
        <v>2.1796410750000001</v>
      </c>
      <c r="S6">
        <v>2.1439201570000002</v>
      </c>
      <c r="T6">
        <v>2.1402644710000001</v>
      </c>
      <c r="U6">
        <v>2.1439124239999998</v>
      </c>
      <c r="V6">
        <v>-3.9435798000000001E-2</v>
      </c>
      <c r="W6">
        <v>-3.9448906999999998E-2</v>
      </c>
      <c r="X6">
        <v>-3.9469786999999999E-2</v>
      </c>
      <c r="Y6">
        <v>-3.8281364999999998E-2</v>
      </c>
      <c r="Z6">
        <v>53</v>
      </c>
      <c r="AA6">
        <v>16</v>
      </c>
      <c r="AB6">
        <v>17</v>
      </c>
      <c r="AC6">
        <v>53</v>
      </c>
      <c r="AD6">
        <v>111</v>
      </c>
      <c r="AE6">
        <v>3.18</v>
      </c>
      <c r="AF6">
        <v>0.25600000000000001</v>
      </c>
      <c r="AG6">
        <v>0.23799999999999999</v>
      </c>
      <c r="AH6">
        <v>4.6427999999999997E-2</v>
      </c>
      <c r="AI6">
        <v>3.7204280000000001</v>
      </c>
    </row>
    <row r="7" spans="1:35">
      <c r="A7" t="s">
        <v>20</v>
      </c>
      <c r="B7">
        <v>38.497607209999998</v>
      </c>
      <c r="C7">
        <v>0.81555484700000003</v>
      </c>
      <c r="D7">
        <v>2.1735629310000002</v>
      </c>
      <c r="E7">
        <v>8.7875839999999993E-3</v>
      </c>
      <c r="F7">
        <v>2.1454766639999998</v>
      </c>
      <c r="G7">
        <v>9.6585130000000005E-3</v>
      </c>
      <c r="H7">
        <v>-2.8086267000000002E-2</v>
      </c>
      <c r="I7">
        <v>1.5932730000000001E-3</v>
      </c>
      <c r="J7">
        <v>37.881194530000002</v>
      </c>
      <c r="K7">
        <v>39.741386820000002</v>
      </c>
      <c r="L7">
        <v>38.701983519999999</v>
      </c>
      <c r="M7">
        <v>37.665863950000002</v>
      </c>
      <c r="N7">
        <v>2.188251256</v>
      </c>
      <c r="O7">
        <v>2.1699325520000001</v>
      </c>
      <c r="P7">
        <v>2.1711016010000002</v>
      </c>
      <c r="Q7">
        <v>2.1649663129999999</v>
      </c>
      <c r="R7">
        <v>2.161088286</v>
      </c>
      <c r="S7">
        <v>2.1403159299999999</v>
      </c>
      <c r="T7">
        <v>2.1451594269999998</v>
      </c>
      <c r="U7">
        <v>2.1353430119999999</v>
      </c>
      <c r="V7">
        <v>-2.7162970000000002E-2</v>
      </c>
      <c r="W7">
        <v>-2.9616621999999999E-2</v>
      </c>
      <c r="X7">
        <v>-2.5942173999999998E-2</v>
      </c>
      <c r="Y7">
        <v>-2.9623301000000001E-2</v>
      </c>
      <c r="Z7">
        <v>65</v>
      </c>
      <c r="AA7">
        <v>48</v>
      </c>
      <c r="AB7">
        <v>0</v>
      </c>
      <c r="AC7">
        <v>74</v>
      </c>
      <c r="AD7">
        <v>63</v>
      </c>
      <c r="AE7">
        <v>3.9</v>
      </c>
      <c r="AF7">
        <v>0.76800000000000002</v>
      </c>
      <c r="AG7">
        <v>0</v>
      </c>
      <c r="AH7">
        <v>6.4824000000000007E-2</v>
      </c>
      <c r="AI7">
        <v>4.7328239999999999</v>
      </c>
    </row>
    <row r="8" spans="1:35">
      <c r="A8" t="s">
        <v>20</v>
      </c>
      <c r="B8">
        <v>18.710931420000001</v>
      </c>
      <c r="C8">
        <v>0.359404218</v>
      </c>
      <c r="D8">
        <v>2.1962447869999999</v>
      </c>
      <c r="E8">
        <v>3.7981718999999997E-2</v>
      </c>
      <c r="F8">
        <v>2.1651294970000001</v>
      </c>
      <c r="G8">
        <v>3.5389010999999998E-2</v>
      </c>
      <c r="H8">
        <v>-3.111529E-2</v>
      </c>
      <c r="I8">
        <v>3.4296890000000001E-3</v>
      </c>
      <c r="J8">
        <v>18.749416759999999</v>
      </c>
      <c r="K8">
        <v>18.961186510000001</v>
      </c>
      <c r="L8">
        <v>18.113300070000001</v>
      </c>
      <c r="M8">
        <v>19.019822349999998</v>
      </c>
      <c r="N8">
        <v>2.1370759160000001</v>
      </c>
      <c r="O8">
        <v>2.19380233</v>
      </c>
      <c r="P8">
        <v>2.2135311070000001</v>
      </c>
      <c r="Q8">
        <v>2.2405697939999998</v>
      </c>
      <c r="R8">
        <v>2.1087744919999998</v>
      </c>
      <c r="S8">
        <v>2.164213744</v>
      </c>
      <c r="T8">
        <v>2.1839456780000002</v>
      </c>
      <c r="U8">
        <v>2.2035840750000002</v>
      </c>
      <c r="V8">
        <v>-2.8301423999999999E-2</v>
      </c>
      <c r="W8">
        <v>-2.9588586E-2</v>
      </c>
      <c r="X8">
        <v>-2.9585429E-2</v>
      </c>
      <c r="Y8">
        <v>-3.6985719E-2</v>
      </c>
      <c r="Z8">
        <v>54</v>
      </c>
      <c r="AA8">
        <v>19</v>
      </c>
      <c r="AB8">
        <v>113</v>
      </c>
      <c r="AC8">
        <v>50</v>
      </c>
      <c r="AD8">
        <v>14</v>
      </c>
      <c r="AE8">
        <v>3.24</v>
      </c>
      <c r="AF8">
        <v>0.30399999999999999</v>
      </c>
      <c r="AG8">
        <v>1.5820000000000001</v>
      </c>
      <c r="AH8">
        <v>4.3799999999999999E-2</v>
      </c>
      <c r="AI8">
        <v>5.1698000000000004</v>
      </c>
    </row>
    <row r="9" spans="1:35">
      <c r="A9" t="s">
        <v>20</v>
      </c>
      <c r="B9">
        <v>31.58749345</v>
      </c>
      <c r="C9">
        <v>1.3148160879999999</v>
      </c>
      <c r="D9">
        <v>2.1924640919999998</v>
      </c>
      <c r="E9">
        <v>4.0672413999999997E-2</v>
      </c>
      <c r="F9">
        <v>2.2032986000000001</v>
      </c>
      <c r="G9">
        <v>4.0684090999999999E-2</v>
      </c>
      <c r="H9">
        <v>1.0834508E-2</v>
      </c>
      <c r="I9" s="5" t="s">
        <v>84</v>
      </c>
      <c r="J9">
        <v>29.933633369999999</v>
      </c>
      <c r="K9">
        <v>30.663385479999999</v>
      </c>
      <c r="L9">
        <v>32.839214409999997</v>
      </c>
      <c r="M9">
        <v>32.913740529999998</v>
      </c>
      <c r="N9">
        <v>2.1226224999999999</v>
      </c>
      <c r="O9">
        <v>2.2173900049999999</v>
      </c>
      <c r="P9">
        <v>2.2223085010000001</v>
      </c>
      <c r="Q9">
        <v>2.2075353629999999</v>
      </c>
      <c r="R9">
        <v>2.1334348510000001</v>
      </c>
      <c r="S9">
        <v>2.2282157219999998</v>
      </c>
      <c r="T9">
        <v>2.2331500910000002</v>
      </c>
      <c r="U9">
        <v>2.218393737</v>
      </c>
      <c r="V9">
        <v>1.0812351E-2</v>
      </c>
      <c r="W9">
        <v>1.0825717E-2</v>
      </c>
      <c r="X9">
        <v>1.084159E-2</v>
      </c>
      <c r="Y9">
        <v>1.0858374E-2</v>
      </c>
      <c r="Z9">
        <v>47</v>
      </c>
      <c r="AA9">
        <v>161</v>
      </c>
      <c r="AB9">
        <v>11</v>
      </c>
      <c r="AC9">
        <v>24</v>
      </c>
      <c r="AD9">
        <v>7</v>
      </c>
      <c r="AE9">
        <v>2.82</v>
      </c>
      <c r="AF9">
        <v>2.5760000000000001</v>
      </c>
      <c r="AG9">
        <v>0.154</v>
      </c>
      <c r="AH9">
        <v>2.1024000000000001E-2</v>
      </c>
      <c r="AI9">
        <v>5.5710240000000004</v>
      </c>
    </row>
    <row r="10" spans="1:35">
      <c r="A10" t="s">
        <v>20</v>
      </c>
      <c r="B10">
        <v>24.19684135</v>
      </c>
      <c r="C10">
        <v>0.69325895400000004</v>
      </c>
      <c r="D10">
        <v>2.171951929</v>
      </c>
      <c r="E10">
        <v>1.9788396999999999E-2</v>
      </c>
      <c r="F10">
        <v>2.142649332</v>
      </c>
      <c r="G10">
        <v>1.8938278999999999E-2</v>
      </c>
      <c r="H10">
        <v>-2.9302597999999999E-2</v>
      </c>
      <c r="I10">
        <v>2.0080419999999998E-3</v>
      </c>
      <c r="J10">
        <v>25.013174750000001</v>
      </c>
      <c r="K10">
        <v>23.960647399999999</v>
      </c>
      <c r="L10">
        <v>23.188453030000002</v>
      </c>
      <c r="M10">
        <v>24.625090230000001</v>
      </c>
      <c r="N10">
        <v>2.2055348499999998</v>
      </c>
      <c r="O10">
        <v>2.1661265379999999</v>
      </c>
      <c r="P10">
        <v>2.1549639310000002</v>
      </c>
      <c r="Q10">
        <v>2.1611823970000001</v>
      </c>
      <c r="R10">
        <v>2.1746985959999998</v>
      </c>
      <c r="S10">
        <v>2.1352777139999999</v>
      </c>
      <c r="T10">
        <v>2.125378752</v>
      </c>
      <c r="U10">
        <v>2.1352422639999999</v>
      </c>
      <c r="V10">
        <v>-3.0836254E-2</v>
      </c>
      <c r="W10">
        <v>-3.0848824E-2</v>
      </c>
      <c r="X10">
        <v>-2.9585179E-2</v>
      </c>
      <c r="Y10">
        <v>-2.5940133000000001E-2</v>
      </c>
      <c r="Z10">
        <v>94</v>
      </c>
      <c r="AA10">
        <v>0</v>
      </c>
      <c r="AB10">
        <v>16</v>
      </c>
      <c r="AC10">
        <v>124</v>
      </c>
      <c r="AD10">
        <v>16</v>
      </c>
      <c r="AE10">
        <v>5.64</v>
      </c>
      <c r="AF10">
        <v>0</v>
      </c>
      <c r="AG10">
        <v>0.224</v>
      </c>
      <c r="AH10">
        <v>0.108624</v>
      </c>
      <c r="AI10">
        <v>5.9726239999999997</v>
      </c>
    </row>
    <row r="11" spans="1:35">
      <c r="A11" t="s">
        <v>20</v>
      </c>
      <c r="B11">
        <v>25.49835208</v>
      </c>
      <c r="C11">
        <v>1.738720493</v>
      </c>
      <c r="D11">
        <v>2.1870213789999999</v>
      </c>
      <c r="E11">
        <v>2.8441748999999999E-2</v>
      </c>
      <c r="F11">
        <v>2.16478568</v>
      </c>
      <c r="G11">
        <v>3.1743049000000002E-2</v>
      </c>
      <c r="H11">
        <v>-2.2235699000000001E-2</v>
      </c>
      <c r="I11">
        <v>3.9661870000000004E-3</v>
      </c>
      <c r="J11">
        <v>24.461884919999999</v>
      </c>
      <c r="K11">
        <v>24.278923349999999</v>
      </c>
      <c r="L11">
        <v>24.757237140000001</v>
      </c>
      <c r="M11">
        <v>28.4953629</v>
      </c>
      <c r="N11">
        <v>2.1383509589999998</v>
      </c>
      <c r="O11">
        <v>2.1975020879999998</v>
      </c>
      <c r="P11">
        <v>2.2023846009999999</v>
      </c>
      <c r="Q11">
        <v>2.2098478689999999</v>
      </c>
      <c r="R11">
        <v>2.111203868</v>
      </c>
      <c r="S11">
        <v>2.1740828090000002</v>
      </c>
      <c r="T11">
        <v>2.1801283589999998</v>
      </c>
      <c r="U11">
        <v>2.1937276830000001</v>
      </c>
      <c r="V11">
        <v>-2.7147091000000002E-2</v>
      </c>
      <c r="W11">
        <v>-2.3419279000000001E-2</v>
      </c>
      <c r="X11">
        <v>-2.2256241999999999E-2</v>
      </c>
      <c r="Y11">
        <v>-1.6120186000000002E-2</v>
      </c>
      <c r="Z11">
        <v>75</v>
      </c>
      <c r="AA11">
        <v>52</v>
      </c>
      <c r="AB11">
        <v>31</v>
      </c>
      <c r="AC11">
        <v>65</v>
      </c>
      <c r="AD11">
        <v>27</v>
      </c>
      <c r="AE11">
        <v>4.5</v>
      </c>
      <c r="AF11">
        <v>0.83199999999999996</v>
      </c>
      <c r="AG11">
        <v>0.434</v>
      </c>
      <c r="AH11">
        <v>5.6939999999999998E-2</v>
      </c>
      <c r="AI11">
        <v>5.82294</v>
      </c>
    </row>
    <row r="12" spans="1:35">
      <c r="A12" t="s">
        <v>20</v>
      </c>
      <c r="B12">
        <v>32.947179220000002</v>
      </c>
      <c r="C12">
        <v>1.4488552100000001</v>
      </c>
      <c r="D12">
        <v>2.124781982</v>
      </c>
      <c r="E12">
        <v>2.0901999000000001E-2</v>
      </c>
      <c r="F12">
        <v>2.097661182</v>
      </c>
      <c r="G12">
        <v>2.0074183999999998E-2</v>
      </c>
      <c r="H12">
        <v>-2.71208E-2</v>
      </c>
      <c r="I12">
        <v>9.9054200000000007E-4</v>
      </c>
      <c r="J12">
        <v>33.437708829999998</v>
      </c>
      <c r="K12">
        <v>56.217705719999998</v>
      </c>
      <c r="L12">
        <v>34.424792140000001</v>
      </c>
      <c r="M12">
        <v>30.979036690000001</v>
      </c>
      <c r="N12">
        <v>2.1543054879999999</v>
      </c>
      <c r="O12">
        <v>2.0805274499999999</v>
      </c>
      <c r="P12">
        <v>2.1112899949999999</v>
      </c>
      <c r="Q12">
        <v>2.1087504629999998</v>
      </c>
      <c r="R12">
        <v>2.1259680329999999</v>
      </c>
      <c r="S12">
        <v>2.0595207250000001</v>
      </c>
      <c r="T12">
        <v>2.085378833</v>
      </c>
      <c r="U12">
        <v>2.0816366799999999</v>
      </c>
      <c r="V12">
        <v>-2.8337455000000001E-2</v>
      </c>
      <c r="W12">
        <v>-2.1006725E-2</v>
      </c>
      <c r="X12">
        <v>-2.5911162000000001E-2</v>
      </c>
      <c r="Y12">
        <v>-2.7113782999999999E-2</v>
      </c>
      <c r="Z12">
        <v>40</v>
      </c>
      <c r="AA12">
        <v>35</v>
      </c>
      <c r="AB12">
        <v>114</v>
      </c>
      <c r="AC12">
        <v>34</v>
      </c>
      <c r="AD12">
        <v>27</v>
      </c>
      <c r="AE12">
        <v>2.4</v>
      </c>
      <c r="AF12">
        <v>0.56000000000000005</v>
      </c>
      <c r="AG12">
        <v>1.5960000000000001</v>
      </c>
      <c r="AH12">
        <v>2.9784000000000001E-2</v>
      </c>
      <c r="AI12">
        <v>4.5857840000000003</v>
      </c>
    </row>
    <row r="13" spans="1:35">
      <c r="A13" t="s">
        <v>20</v>
      </c>
      <c r="B13">
        <v>51.805523870000002</v>
      </c>
      <c r="C13">
        <v>1.026510437</v>
      </c>
      <c r="D13">
        <v>2.6817813500000001</v>
      </c>
      <c r="E13">
        <v>8.9893379999999995E-3</v>
      </c>
      <c r="F13">
        <v>2.6439352889999999</v>
      </c>
      <c r="G13">
        <v>8.7600179999999996E-3</v>
      </c>
      <c r="H13">
        <v>-3.7846062E-2</v>
      </c>
      <c r="I13">
        <v>5.1112800000000002E-4</v>
      </c>
      <c r="J13">
        <v>50.622428550000002</v>
      </c>
      <c r="K13">
        <v>51.160438569999997</v>
      </c>
      <c r="L13">
        <v>52.116321999999997</v>
      </c>
      <c r="M13">
        <v>53.322906369999998</v>
      </c>
      <c r="N13">
        <v>2.671028175</v>
      </c>
      <c r="O13">
        <v>2.6747494719999998</v>
      </c>
      <c r="P13">
        <v>2.6906920150000002</v>
      </c>
      <c r="Q13">
        <v>2.6906557389999999</v>
      </c>
      <c r="R13">
        <v>2.6329056529999999</v>
      </c>
      <c r="S13">
        <v>2.6377884809999999</v>
      </c>
      <c r="T13">
        <v>2.6525381609999998</v>
      </c>
      <c r="U13">
        <v>2.6525088600000002</v>
      </c>
      <c r="V13">
        <v>-3.8122521999999999E-2</v>
      </c>
      <c r="W13">
        <v>-3.6960990999999999E-2</v>
      </c>
      <c r="X13">
        <v>-3.8153854000000001E-2</v>
      </c>
      <c r="Y13">
        <v>-3.8146879000000002E-2</v>
      </c>
      <c r="Z13">
        <v>5</v>
      </c>
      <c r="AA13">
        <v>81</v>
      </c>
      <c r="AB13">
        <v>92</v>
      </c>
      <c r="AC13">
        <v>0</v>
      </c>
      <c r="AD13">
        <v>72</v>
      </c>
      <c r="AE13">
        <v>0.3</v>
      </c>
      <c r="AF13">
        <v>1.296</v>
      </c>
      <c r="AG13">
        <v>1.288</v>
      </c>
      <c r="AH13">
        <v>0</v>
      </c>
      <c r="AI13">
        <v>2.8839999999999999</v>
      </c>
    </row>
    <row r="14" spans="1:35">
      <c r="A14" t="s">
        <v>20</v>
      </c>
      <c r="B14">
        <v>32.538304599999996</v>
      </c>
      <c r="C14">
        <v>2.714687214</v>
      </c>
      <c r="D14">
        <v>2.1135274260000001</v>
      </c>
      <c r="E14">
        <v>3.55917E-3</v>
      </c>
      <c r="F14">
        <v>2.0757482270000001</v>
      </c>
      <c r="G14">
        <v>3.1228369999999998E-3</v>
      </c>
      <c r="H14">
        <v>-3.7779199999999999E-2</v>
      </c>
      <c r="I14">
        <v>5.4730100000000004E-4</v>
      </c>
      <c r="J14">
        <v>20.604983099999998</v>
      </c>
      <c r="K14">
        <v>34.704493929999998</v>
      </c>
      <c r="L14">
        <v>34.200206809999997</v>
      </c>
      <c r="M14">
        <v>28.710213060000001</v>
      </c>
      <c r="N14">
        <v>2.1278812120000001</v>
      </c>
      <c r="O14">
        <v>2.1180911579999999</v>
      </c>
      <c r="P14">
        <v>2.109406865</v>
      </c>
      <c r="Q14">
        <v>2.113084256</v>
      </c>
      <c r="R14">
        <v>2.1020105139999998</v>
      </c>
      <c r="S14">
        <v>2.0799171900000002</v>
      </c>
      <c r="T14">
        <v>2.0724016129999998</v>
      </c>
      <c r="U14">
        <v>2.0749258770000001</v>
      </c>
      <c r="V14">
        <v>-2.5870698000000001E-2</v>
      </c>
      <c r="W14">
        <v>-3.8173968000000003E-2</v>
      </c>
      <c r="X14">
        <v>-3.7005252000000002E-2</v>
      </c>
      <c r="Y14">
        <v>-3.8158378999999999E-2</v>
      </c>
      <c r="Z14">
        <v>12</v>
      </c>
      <c r="AA14">
        <v>0</v>
      </c>
      <c r="AB14">
        <v>192</v>
      </c>
      <c r="AC14">
        <v>0</v>
      </c>
      <c r="AD14">
        <v>46</v>
      </c>
      <c r="AE14">
        <v>0.72</v>
      </c>
      <c r="AF14">
        <v>0</v>
      </c>
      <c r="AG14">
        <v>2.6880000000000002</v>
      </c>
      <c r="AH14">
        <v>0</v>
      </c>
      <c r="AI14">
        <v>3.4079999999999999</v>
      </c>
    </row>
    <row r="15" spans="1:35">
      <c r="A15" t="s">
        <v>20</v>
      </c>
      <c r="B15">
        <v>31.85779496</v>
      </c>
      <c r="C15">
        <v>0.27832438900000001</v>
      </c>
      <c r="D15">
        <v>2.278608803</v>
      </c>
      <c r="E15">
        <v>1.5292369999999999E-3</v>
      </c>
      <c r="F15">
        <v>2.1494354709999999</v>
      </c>
      <c r="G15">
        <v>9.5266100000000005E-4</v>
      </c>
      <c r="H15">
        <v>-0.129173332</v>
      </c>
      <c r="I15">
        <v>1.561366E-3</v>
      </c>
      <c r="J15">
        <v>24.430886560000001</v>
      </c>
      <c r="K15">
        <v>31.581727170000001</v>
      </c>
      <c r="L15">
        <v>31.75285431</v>
      </c>
      <c r="M15">
        <v>32.238803400000002</v>
      </c>
      <c r="N15">
        <v>2.297470111</v>
      </c>
      <c r="O15">
        <v>2.2790930359999999</v>
      </c>
      <c r="P15">
        <v>2.2801920600000001</v>
      </c>
      <c r="Q15">
        <v>2.2765413140000001</v>
      </c>
      <c r="R15">
        <v>2.159262113</v>
      </c>
      <c r="S15">
        <v>2.1482576240000002</v>
      </c>
      <c r="T15">
        <v>2.1505908329999999</v>
      </c>
      <c r="U15">
        <v>2.149457956</v>
      </c>
      <c r="V15">
        <v>-0.138207998</v>
      </c>
      <c r="W15">
        <v>-0.13083541200000001</v>
      </c>
      <c r="X15">
        <v>-0.12960122700000001</v>
      </c>
      <c r="Y15">
        <v>-0.12708335800000001</v>
      </c>
      <c r="Z15">
        <v>5</v>
      </c>
      <c r="AA15">
        <v>6</v>
      </c>
      <c r="AB15">
        <v>40</v>
      </c>
      <c r="AC15">
        <v>18</v>
      </c>
      <c r="AD15">
        <v>181</v>
      </c>
      <c r="AE15">
        <v>0.3</v>
      </c>
      <c r="AF15">
        <v>9.6000000000000002E-2</v>
      </c>
      <c r="AG15">
        <v>0.56000000000000005</v>
      </c>
      <c r="AH15">
        <v>1.5768000000000001E-2</v>
      </c>
      <c r="AI15">
        <v>0.97176799999999997</v>
      </c>
    </row>
    <row r="16" spans="1:35">
      <c r="A16" t="s">
        <v>20</v>
      </c>
      <c r="B16">
        <v>43.27639817</v>
      </c>
      <c r="C16">
        <v>7.7558031109999996</v>
      </c>
      <c r="D16">
        <v>2.1045455679999998</v>
      </c>
      <c r="E16">
        <v>4.0556519999999999E-3</v>
      </c>
      <c r="F16">
        <v>2.0777731560000001</v>
      </c>
      <c r="G16">
        <v>4.5689090000000003E-3</v>
      </c>
      <c r="H16">
        <v>-2.6772411999999999E-2</v>
      </c>
      <c r="I16">
        <v>5.7332800000000001E-4</v>
      </c>
      <c r="J16">
        <v>58.639414080000002</v>
      </c>
      <c r="K16">
        <v>54.229040269999999</v>
      </c>
      <c r="L16">
        <v>37.291701099999997</v>
      </c>
      <c r="M16">
        <v>38.308453149999998</v>
      </c>
      <c r="N16">
        <v>2.1354075369999999</v>
      </c>
      <c r="O16">
        <v>2.109508774</v>
      </c>
      <c r="P16">
        <v>2.1045534259999998</v>
      </c>
      <c r="Q16">
        <v>2.0995745050000001</v>
      </c>
      <c r="R16">
        <v>2.1131508609999998</v>
      </c>
      <c r="S16">
        <v>2.0835467410000001</v>
      </c>
      <c r="T16">
        <v>2.0773986710000001</v>
      </c>
      <c r="U16">
        <v>2.0723740570000002</v>
      </c>
      <c r="V16">
        <v>-2.2256676E-2</v>
      </c>
      <c r="W16">
        <v>-2.5962032999999999E-2</v>
      </c>
      <c r="X16">
        <v>-2.7154754999999999E-2</v>
      </c>
      <c r="Y16">
        <v>-2.7200447999999999E-2</v>
      </c>
      <c r="Z16">
        <v>34</v>
      </c>
      <c r="AA16">
        <v>24</v>
      </c>
      <c r="AB16">
        <v>142</v>
      </c>
      <c r="AC16">
        <v>16</v>
      </c>
      <c r="AD16">
        <v>34</v>
      </c>
      <c r="AE16">
        <v>2.04</v>
      </c>
      <c r="AF16">
        <v>0.38400000000000001</v>
      </c>
      <c r="AG16">
        <v>1.988</v>
      </c>
      <c r="AH16">
        <v>1.4016000000000001E-2</v>
      </c>
      <c r="AI16">
        <v>4.4260159999999997</v>
      </c>
    </row>
    <row r="17" spans="1:35">
      <c r="A17" t="s">
        <v>20</v>
      </c>
      <c r="B17">
        <v>69.791776979999995</v>
      </c>
      <c r="C17">
        <v>3.2127918200000001</v>
      </c>
      <c r="D17">
        <v>2.1591786329999998</v>
      </c>
      <c r="E17">
        <v>1.563563E-3</v>
      </c>
      <c r="F17">
        <v>2.1205458400000001</v>
      </c>
      <c r="G17">
        <v>1.0089669999999999E-3</v>
      </c>
      <c r="H17">
        <v>-3.8632793999999998E-2</v>
      </c>
      <c r="I17">
        <v>6.0402100000000005E-4</v>
      </c>
      <c r="J17">
        <v>47.875030410000001</v>
      </c>
      <c r="K17">
        <v>65.501438390000004</v>
      </c>
      <c r="L17">
        <v>70.641649779999995</v>
      </c>
      <c r="M17">
        <v>73.232242769999999</v>
      </c>
      <c r="N17">
        <v>2.1686176339999998</v>
      </c>
      <c r="O17">
        <v>2.157468036</v>
      </c>
      <c r="P17">
        <v>2.161247393</v>
      </c>
      <c r="Q17">
        <v>2.1588204709999999</v>
      </c>
      <c r="R17">
        <v>2.129180104</v>
      </c>
      <c r="S17">
        <v>2.1192905419999999</v>
      </c>
      <c r="T17">
        <v>2.121761019</v>
      </c>
      <c r="U17">
        <v>2.1205859579999999</v>
      </c>
      <c r="V17">
        <v>-3.9437529999999998E-2</v>
      </c>
      <c r="W17">
        <v>-3.8177493999999999E-2</v>
      </c>
      <c r="X17">
        <v>-3.9486373999999998E-2</v>
      </c>
      <c r="Y17">
        <v>-3.8234512999999998E-2</v>
      </c>
      <c r="Z17">
        <v>28</v>
      </c>
      <c r="AA17">
        <v>0</v>
      </c>
      <c r="AB17">
        <v>77</v>
      </c>
      <c r="AC17">
        <v>28</v>
      </c>
      <c r="AD17">
        <v>117</v>
      </c>
      <c r="AE17">
        <v>1.68</v>
      </c>
      <c r="AF17">
        <v>0</v>
      </c>
      <c r="AG17">
        <v>1.0780000000000001</v>
      </c>
      <c r="AH17">
        <v>2.4528000000000001E-2</v>
      </c>
      <c r="AI17">
        <v>2.7825280000000001</v>
      </c>
    </row>
    <row r="18" spans="1:35">
      <c r="A18" t="s">
        <v>20</v>
      </c>
      <c r="B18">
        <v>63.146762299999999</v>
      </c>
      <c r="C18">
        <v>3.447278678</v>
      </c>
      <c r="D18">
        <v>2.1593510490000001</v>
      </c>
      <c r="E18">
        <v>3.025415E-3</v>
      </c>
      <c r="F18">
        <v>2.1207085000000001</v>
      </c>
      <c r="G18">
        <v>2.0868169999999999E-3</v>
      </c>
      <c r="H18">
        <v>-3.8642549999999998E-2</v>
      </c>
      <c r="I18">
        <v>1.162106E-3</v>
      </c>
      <c r="J18">
        <v>86.551251649999998</v>
      </c>
      <c r="K18">
        <v>64.43923427</v>
      </c>
      <c r="L18">
        <v>58.429564200000002</v>
      </c>
      <c r="M18">
        <v>66.571488439999996</v>
      </c>
      <c r="N18">
        <v>2.2344511699999998</v>
      </c>
      <c r="O18">
        <v>2.1630499670000001</v>
      </c>
      <c r="P18">
        <v>2.159363903</v>
      </c>
      <c r="Q18">
        <v>2.1556392780000002</v>
      </c>
      <c r="R18">
        <v>2.1949975749999999</v>
      </c>
      <c r="S18">
        <v>2.1235657219999999</v>
      </c>
      <c r="T18">
        <v>2.1199197459999999</v>
      </c>
      <c r="U18">
        <v>2.118640031</v>
      </c>
      <c r="V18">
        <v>-3.9453595000000001E-2</v>
      </c>
      <c r="W18">
        <v>-3.9484245000000001E-2</v>
      </c>
      <c r="X18">
        <v>-3.9444157000000001E-2</v>
      </c>
      <c r="Y18">
        <v>-3.6999246999999999E-2</v>
      </c>
      <c r="Z18">
        <v>59</v>
      </c>
      <c r="AA18">
        <v>21</v>
      </c>
      <c r="AB18">
        <v>19</v>
      </c>
      <c r="AC18">
        <v>139</v>
      </c>
      <c r="AD18">
        <v>12</v>
      </c>
      <c r="AE18">
        <v>3.54</v>
      </c>
      <c r="AF18">
        <v>0.33600000000000002</v>
      </c>
      <c r="AG18">
        <v>0.26600000000000001</v>
      </c>
      <c r="AH18">
        <v>0.121764</v>
      </c>
      <c r="AI18">
        <v>4.2637640000000001</v>
      </c>
    </row>
    <row r="19" spans="1:35">
      <c r="A19" t="s">
        <v>20</v>
      </c>
      <c r="B19">
        <v>32.305062890000002</v>
      </c>
      <c r="C19">
        <v>2.330761163</v>
      </c>
      <c r="D19">
        <v>2.7924203209999998</v>
      </c>
      <c r="E19">
        <v>2.7868630000000001E-3</v>
      </c>
      <c r="F19">
        <v>2.667194447</v>
      </c>
      <c r="G19">
        <v>3.4020249999999999E-3</v>
      </c>
      <c r="H19">
        <v>-0.12522587399999999</v>
      </c>
      <c r="I19">
        <v>3.3731709999999999E-3</v>
      </c>
      <c r="J19">
        <v>28.34834863</v>
      </c>
      <c r="K19">
        <v>33.461550350000003</v>
      </c>
      <c r="L19">
        <v>33.066386659999999</v>
      </c>
      <c r="M19">
        <v>34.343965910000001</v>
      </c>
      <c r="N19">
        <v>2.7932645530000002</v>
      </c>
      <c r="O19">
        <v>2.7893565740000001</v>
      </c>
      <c r="P19">
        <v>2.7904883680000001</v>
      </c>
      <c r="Q19">
        <v>2.7965717899999998</v>
      </c>
      <c r="R19">
        <v>2.662389798</v>
      </c>
      <c r="S19">
        <v>2.6672323800000002</v>
      </c>
      <c r="T19">
        <v>2.6671438570000001</v>
      </c>
      <c r="U19">
        <v>2.6720117540000001</v>
      </c>
      <c r="V19">
        <v>-0.13087475500000001</v>
      </c>
      <c r="W19">
        <v>-0.12212419400000001</v>
      </c>
      <c r="X19">
        <v>-0.123344511</v>
      </c>
      <c r="Y19">
        <v>-0.124560036</v>
      </c>
      <c r="Z19">
        <v>8</v>
      </c>
      <c r="AA19">
        <v>0</v>
      </c>
      <c r="AB19">
        <v>25</v>
      </c>
      <c r="AC19">
        <v>90</v>
      </c>
      <c r="AD19">
        <v>127</v>
      </c>
      <c r="AE19">
        <v>0.48</v>
      </c>
      <c r="AF19">
        <v>0</v>
      </c>
      <c r="AG19">
        <v>0.35</v>
      </c>
      <c r="AH19">
        <v>7.8839999999999993E-2</v>
      </c>
      <c r="AI19">
        <v>0.90883999999999998</v>
      </c>
    </row>
    <row r="20" spans="1:35">
      <c r="A20" t="s">
        <v>20</v>
      </c>
      <c r="B20">
        <v>42.490213400000002</v>
      </c>
      <c r="C20">
        <v>2.6735110209999999</v>
      </c>
      <c r="D20">
        <v>2.2332827270000002</v>
      </c>
      <c r="E20">
        <v>0.19305083300000001</v>
      </c>
      <c r="F20">
        <v>2.2444202550000001</v>
      </c>
      <c r="G20">
        <v>0.19275811500000001</v>
      </c>
      <c r="H20">
        <v>1.1137528000000001E-2</v>
      </c>
      <c r="I20">
        <v>5.2697499999999995E-4</v>
      </c>
      <c r="J20">
        <v>40.538590710000001</v>
      </c>
      <c r="K20">
        <v>42.685500830000002</v>
      </c>
      <c r="L20">
        <v>46.774355159999999</v>
      </c>
      <c r="M20">
        <v>39.962406880000003</v>
      </c>
      <c r="N20">
        <v>2.0499540729999999</v>
      </c>
      <c r="O20">
        <v>2.5580359389999998</v>
      </c>
      <c r="P20">
        <v>2.1625675850000001</v>
      </c>
      <c r="Q20">
        <v>2.1625733110000001</v>
      </c>
      <c r="R20">
        <v>2.0620043039999998</v>
      </c>
      <c r="S20">
        <v>2.5688608300000002</v>
      </c>
      <c r="T20">
        <v>2.1734041070000001</v>
      </c>
      <c r="U20">
        <v>2.1734117789999998</v>
      </c>
      <c r="V20">
        <v>1.2050231E-2</v>
      </c>
      <c r="W20">
        <v>1.0824891E-2</v>
      </c>
      <c r="X20">
        <v>1.0836521999999999E-2</v>
      </c>
      <c r="Y20">
        <v>1.0838468E-2</v>
      </c>
      <c r="Z20">
        <v>130</v>
      </c>
      <c r="AA20">
        <v>46</v>
      </c>
      <c r="AB20">
        <v>18</v>
      </c>
      <c r="AC20">
        <v>52</v>
      </c>
      <c r="AD20">
        <v>4</v>
      </c>
      <c r="AE20">
        <v>7.8</v>
      </c>
      <c r="AF20">
        <v>0.73599999999999999</v>
      </c>
      <c r="AG20">
        <v>0.252</v>
      </c>
      <c r="AH20">
        <v>4.5552000000000002E-2</v>
      </c>
      <c r="AI20">
        <v>8.8335519999999992</v>
      </c>
    </row>
    <row r="21" spans="1:35">
      <c r="A21" t="s">
        <v>20</v>
      </c>
      <c r="B21">
        <v>60.973729589999998</v>
      </c>
      <c r="C21">
        <v>4.1330291990000001</v>
      </c>
      <c r="D21">
        <v>2.7813587129999999</v>
      </c>
      <c r="E21">
        <v>1.608263E-3</v>
      </c>
      <c r="F21">
        <v>2.648324256</v>
      </c>
      <c r="G21">
        <v>1.1138837E-2</v>
      </c>
      <c r="H21">
        <v>-0.13303445799999999</v>
      </c>
      <c r="I21">
        <v>1.0502723E-2</v>
      </c>
      <c r="J21">
        <v>57.983830740000002</v>
      </c>
      <c r="K21">
        <v>60.082979000000002</v>
      </c>
      <c r="L21">
        <v>57.86108144</v>
      </c>
      <c r="M21">
        <v>67.967027180000002</v>
      </c>
      <c r="N21">
        <v>2.782382701</v>
      </c>
      <c r="O21">
        <v>2.7785751150000002</v>
      </c>
      <c r="P21">
        <v>2.7822165939999999</v>
      </c>
      <c r="Q21">
        <v>2.7822604420000001</v>
      </c>
      <c r="R21">
        <v>2.6428785779999999</v>
      </c>
      <c r="S21">
        <v>2.63904256</v>
      </c>
      <c r="T21">
        <v>2.6673507409999999</v>
      </c>
      <c r="U21">
        <v>2.6440251429999999</v>
      </c>
      <c r="V21">
        <v>-0.13950412300000001</v>
      </c>
      <c r="W21">
        <v>-0.139532555</v>
      </c>
      <c r="X21">
        <v>-0.114865853</v>
      </c>
      <c r="Y21">
        <v>-0.13823529900000001</v>
      </c>
      <c r="Z21">
        <v>0</v>
      </c>
      <c r="AA21">
        <v>38</v>
      </c>
      <c r="AB21">
        <v>71</v>
      </c>
      <c r="AC21">
        <v>14</v>
      </c>
      <c r="AD21">
        <v>127</v>
      </c>
      <c r="AE21">
        <v>0</v>
      </c>
      <c r="AF21">
        <v>0.60799999999999998</v>
      </c>
      <c r="AG21">
        <v>0.99399999999999999</v>
      </c>
      <c r="AH21">
        <v>1.2264000000000001E-2</v>
      </c>
      <c r="AI21">
        <v>1.6142639999999999</v>
      </c>
    </row>
    <row r="22" spans="1:35">
      <c r="A22" t="s">
        <v>20</v>
      </c>
      <c r="B22">
        <v>134.0914563</v>
      </c>
      <c r="C22">
        <v>12.588994899999999</v>
      </c>
      <c r="D22">
        <v>2.4986631090000002</v>
      </c>
      <c r="E22">
        <v>0.24682683399999999</v>
      </c>
      <c r="F22">
        <v>2.4979486070000001</v>
      </c>
      <c r="G22">
        <v>0.23898723899999999</v>
      </c>
      <c r="H22">
        <v>-7.14502E-4</v>
      </c>
      <c r="I22">
        <v>1.9508704000000002E-2</v>
      </c>
      <c r="J22">
        <v>135.6907664</v>
      </c>
      <c r="K22">
        <v>132.8149257</v>
      </c>
      <c r="L22">
        <v>151.67396350000001</v>
      </c>
      <c r="M22">
        <v>116.18616969999999</v>
      </c>
      <c r="N22">
        <v>2.0754584889999999</v>
      </c>
      <c r="O22">
        <v>2.5938505140000001</v>
      </c>
      <c r="P22">
        <v>2.633231061</v>
      </c>
      <c r="Q22">
        <v>2.6921123709999999</v>
      </c>
      <c r="R22">
        <v>2.085379584</v>
      </c>
      <c r="S22">
        <v>2.6047378550000002</v>
      </c>
      <c r="T22">
        <v>2.6440626520000001</v>
      </c>
      <c r="U22">
        <v>2.6576143349999999</v>
      </c>
      <c r="V22">
        <v>9.9210949999999996E-3</v>
      </c>
      <c r="W22">
        <v>1.0887341E-2</v>
      </c>
      <c r="X22">
        <v>1.0831591E-2</v>
      </c>
      <c r="Y22">
        <v>-3.4498036000000003E-2</v>
      </c>
      <c r="Z22">
        <v>16</v>
      </c>
      <c r="AA22">
        <v>163</v>
      </c>
      <c r="AB22">
        <v>18</v>
      </c>
      <c r="AC22">
        <v>0</v>
      </c>
      <c r="AD22">
        <v>53</v>
      </c>
      <c r="AE22">
        <v>0.96</v>
      </c>
      <c r="AF22">
        <v>2.6080000000000001</v>
      </c>
      <c r="AG22">
        <v>0.252</v>
      </c>
      <c r="AH22">
        <v>0</v>
      </c>
      <c r="AI22">
        <v>3.82</v>
      </c>
    </row>
    <row r="23" spans="1:35">
      <c r="A23" t="s">
        <v>20</v>
      </c>
      <c r="B23">
        <v>86.959863949999999</v>
      </c>
      <c r="C23">
        <v>2.8964980279999999</v>
      </c>
      <c r="D23">
        <v>2.09802081</v>
      </c>
      <c r="E23">
        <v>2.5297829999999999E-3</v>
      </c>
      <c r="F23">
        <v>2.0897205209999998</v>
      </c>
      <c r="G23">
        <v>2.6545219999999999E-3</v>
      </c>
      <c r="H23">
        <v>-8.3002890000000006E-3</v>
      </c>
      <c r="I23">
        <v>5.8023700000000005E-4</v>
      </c>
      <c r="J23">
        <v>88.126536650000006</v>
      </c>
      <c r="K23">
        <v>41.55367639</v>
      </c>
      <c r="L23">
        <v>82.975982450000004</v>
      </c>
      <c r="M23">
        <v>89.777072759999996</v>
      </c>
      <c r="N23">
        <v>2.100877702</v>
      </c>
      <c r="O23">
        <v>2.099696314</v>
      </c>
      <c r="P23">
        <v>2.0984573919999998</v>
      </c>
      <c r="Q23">
        <v>2.0947273360000001</v>
      </c>
      <c r="R23">
        <v>2.0921554260000002</v>
      </c>
      <c r="S23">
        <v>2.091015407</v>
      </c>
      <c r="T23">
        <v>2.0909775700000002</v>
      </c>
      <c r="U23">
        <v>2.086028566</v>
      </c>
      <c r="V23">
        <v>-8.7222759999999993E-3</v>
      </c>
      <c r="W23">
        <v>-8.6809069999999999E-3</v>
      </c>
      <c r="X23">
        <v>-7.4798219999999997E-3</v>
      </c>
      <c r="Y23">
        <v>-8.6987699999999998E-3</v>
      </c>
      <c r="Z23">
        <v>52</v>
      </c>
      <c r="AA23">
        <v>22</v>
      </c>
      <c r="AB23">
        <v>27</v>
      </c>
      <c r="AC23">
        <v>25</v>
      </c>
      <c r="AD23">
        <v>124</v>
      </c>
      <c r="AE23">
        <v>3.12</v>
      </c>
      <c r="AF23">
        <v>0.35199999999999998</v>
      </c>
      <c r="AG23">
        <v>0.378</v>
      </c>
      <c r="AH23">
        <v>2.1899999999999999E-2</v>
      </c>
      <c r="AI23">
        <v>3.8719000000000001</v>
      </c>
    </row>
    <row r="24" spans="1:35">
      <c r="A24" t="s">
        <v>20</v>
      </c>
      <c r="B24">
        <v>61.525463690000002</v>
      </c>
      <c r="C24">
        <v>5.8730287719999996</v>
      </c>
      <c r="D24">
        <v>2.6731338060000001</v>
      </c>
      <c r="E24">
        <v>9.1210849999999993E-3</v>
      </c>
      <c r="F24">
        <v>2.7144871070000001</v>
      </c>
      <c r="G24">
        <v>9.2879299999999998E-3</v>
      </c>
      <c r="H24">
        <v>4.1353302000000002E-2</v>
      </c>
      <c r="I24">
        <v>4.3232999999999998E-4</v>
      </c>
      <c r="J24">
        <v>77.307172199999997</v>
      </c>
      <c r="K24">
        <v>62.302103350000003</v>
      </c>
      <c r="L24">
        <v>68.29859089</v>
      </c>
      <c r="M24">
        <v>53.975696829999997</v>
      </c>
      <c r="N24">
        <v>2.5618115499999998</v>
      </c>
      <c r="O24">
        <v>2.665103749</v>
      </c>
      <c r="P24">
        <v>2.668406413</v>
      </c>
      <c r="Q24">
        <v>2.685891255</v>
      </c>
      <c r="R24">
        <v>2.60348975</v>
      </c>
      <c r="S24">
        <v>2.7067631740000002</v>
      </c>
      <c r="T24">
        <v>2.7091483080000001</v>
      </c>
      <c r="U24">
        <v>2.72754984</v>
      </c>
      <c r="V24">
        <v>4.1678199999999999E-2</v>
      </c>
      <c r="W24">
        <v>4.1659425E-2</v>
      </c>
      <c r="X24">
        <v>4.0741895E-2</v>
      </c>
      <c r="Y24">
        <v>4.1658584999999998E-2</v>
      </c>
      <c r="Z24">
        <v>25</v>
      </c>
      <c r="AA24">
        <v>183</v>
      </c>
      <c r="AB24">
        <v>38</v>
      </c>
      <c r="AC24">
        <v>0</v>
      </c>
      <c r="AD24">
        <v>4</v>
      </c>
      <c r="AE24">
        <v>1.5</v>
      </c>
      <c r="AF24">
        <v>2.9279999999999999</v>
      </c>
      <c r="AG24">
        <v>0.53200000000000003</v>
      </c>
      <c r="AH24">
        <v>0</v>
      </c>
      <c r="AI24">
        <v>4.96</v>
      </c>
    </row>
    <row r="25" spans="1:35">
      <c r="A25" t="s">
        <v>20</v>
      </c>
      <c r="B25">
        <v>33.968161930000001</v>
      </c>
      <c r="C25">
        <v>15.70966526</v>
      </c>
      <c r="D25">
        <v>2.1052721019999998</v>
      </c>
      <c r="E25">
        <v>1.6564671E-2</v>
      </c>
      <c r="F25">
        <v>2.0965839160000002</v>
      </c>
      <c r="G25">
        <v>1.5566142999999999E-2</v>
      </c>
      <c r="H25">
        <v>-8.6881860000000005E-3</v>
      </c>
      <c r="I25">
        <v>9.9883299999999997E-4</v>
      </c>
      <c r="J25">
        <v>19.505002380000001</v>
      </c>
      <c r="K25">
        <v>26.594840619999999</v>
      </c>
      <c r="L25">
        <v>72.200859800000003</v>
      </c>
      <c r="M25">
        <v>55.804642800000003</v>
      </c>
      <c r="N25">
        <v>2.1253499539999998</v>
      </c>
      <c r="O25">
        <v>2.105685083</v>
      </c>
      <c r="P25">
        <v>2.0859899519999998</v>
      </c>
      <c r="Q25">
        <v>2.084781268</v>
      </c>
      <c r="R25">
        <v>2.1154340089999999</v>
      </c>
      <c r="S25">
        <v>2.0970058319999998</v>
      </c>
      <c r="T25">
        <v>2.0773255709999998</v>
      </c>
      <c r="U25">
        <v>2.0773119059999998</v>
      </c>
      <c r="V25">
        <v>-9.9159450000000007E-3</v>
      </c>
      <c r="W25">
        <v>-8.6792510000000007E-3</v>
      </c>
      <c r="X25">
        <v>-8.6643810000000005E-3</v>
      </c>
      <c r="Y25">
        <v>-7.4693620000000002E-3</v>
      </c>
      <c r="Z25">
        <v>37</v>
      </c>
      <c r="AA25">
        <v>102</v>
      </c>
      <c r="AB25">
        <v>32</v>
      </c>
      <c r="AC25">
        <v>42</v>
      </c>
      <c r="AD25">
        <v>37</v>
      </c>
      <c r="AE25">
        <v>2.2200000000000002</v>
      </c>
      <c r="AF25">
        <v>1.6319999999999999</v>
      </c>
      <c r="AG25">
        <v>0.44800000000000001</v>
      </c>
      <c r="AH25">
        <v>3.6791999999999998E-2</v>
      </c>
      <c r="AI25">
        <v>4.336792</v>
      </c>
    </row>
    <row r="26" spans="1:35">
      <c r="A26" t="s">
        <v>20</v>
      </c>
      <c r="B26">
        <v>57.632797369999999</v>
      </c>
      <c r="C26">
        <v>1.847379552</v>
      </c>
      <c r="D26">
        <v>2.080567582</v>
      </c>
      <c r="E26">
        <v>5.4025549999999999E-3</v>
      </c>
      <c r="F26">
        <v>2.0733822069999999</v>
      </c>
      <c r="G26">
        <v>5.1611629999999999E-3</v>
      </c>
      <c r="H26">
        <v>-7.1853749999999999E-3</v>
      </c>
      <c r="I26">
        <v>5.4410400000000001E-4</v>
      </c>
      <c r="J26">
        <v>55.900666530000002</v>
      </c>
      <c r="K26">
        <v>55.840598739999997</v>
      </c>
      <c r="L26">
        <v>58.611207520000001</v>
      </c>
      <c r="M26">
        <v>60.178716700000003</v>
      </c>
      <c r="N26">
        <v>2.0774304880000001</v>
      </c>
      <c r="O26">
        <v>2.0897920710000002</v>
      </c>
      <c r="P26">
        <v>2.0762413799999999</v>
      </c>
      <c r="Q26">
        <v>2.0788063879999998</v>
      </c>
      <c r="R26">
        <v>2.069968094</v>
      </c>
      <c r="S26">
        <v>2.0822737170000001</v>
      </c>
      <c r="T26">
        <v>2.0699976090000001</v>
      </c>
      <c r="U26">
        <v>2.0712894080000002</v>
      </c>
      <c r="V26">
        <v>-7.4623939999999998E-3</v>
      </c>
      <c r="W26">
        <v>-7.5183539999999997E-3</v>
      </c>
      <c r="X26">
        <v>-6.2437710000000004E-3</v>
      </c>
      <c r="Y26">
        <v>-7.5169800000000004E-3</v>
      </c>
      <c r="Z26">
        <v>42</v>
      </c>
      <c r="AA26">
        <v>133</v>
      </c>
      <c r="AB26">
        <v>15</v>
      </c>
      <c r="AC26">
        <v>17</v>
      </c>
      <c r="AD26">
        <v>43</v>
      </c>
      <c r="AE26">
        <v>2.52</v>
      </c>
      <c r="AF26">
        <v>2.1280000000000001</v>
      </c>
      <c r="AG26">
        <v>0.21</v>
      </c>
      <c r="AH26">
        <v>1.4892000000000001E-2</v>
      </c>
      <c r="AI26">
        <v>4.8728920000000002</v>
      </c>
    </row>
    <row r="27" spans="1:35">
      <c r="A27" t="s">
        <v>20</v>
      </c>
      <c r="B27">
        <v>29.160276119999999</v>
      </c>
      <c r="C27">
        <v>10.39212197</v>
      </c>
      <c r="D27">
        <v>2.9667803230000001</v>
      </c>
      <c r="E27">
        <v>7.8936310999999995E-2</v>
      </c>
      <c r="F27">
        <v>2.9136118139999998</v>
      </c>
      <c r="G27">
        <v>7.5439808999999997E-2</v>
      </c>
      <c r="H27">
        <v>-5.3168509000000003E-2</v>
      </c>
      <c r="I27">
        <v>3.4999810000000001E-3</v>
      </c>
      <c r="J27">
        <v>0</v>
      </c>
      <c r="K27">
        <v>14.51199839</v>
      </c>
      <c r="L27">
        <v>35.452296580000002</v>
      </c>
      <c r="M27">
        <v>37.516533379999998</v>
      </c>
      <c r="N27">
        <v>0</v>
      </c>
      <c r="O27">
        <v>3.0772709909999998</v>
      </c>
      <c r="P27">
        <v>2.8977411179999999</v>
      </c>
      <c r="Q27">
        <v>2.9253288589999999</v>
      </c>
      <c r="R27">
        <v>0</v>
      </c>
      <c r="S27">
        <v>3.0191772769999998</v>
      </c>
      <c r="T27">
        <v>2.8474613240000002</v>
      </c>
      <c r="U27">
        <v>2.8741968400000002</v>
      </c>
      <c r="V27">
        <v>0</v>
      </c>
      <c r="W27">
        <v>-5.8093713999999998E-2</v>
      </c>
      <c r="X27">
        <v>-5.0279794000000003E-2</v>
      </c>
      <c r="Y27">
        <v>-5.1132019000000001E-2</v>
      </c>
      <c r="Z27">
        <v>94</v>
      </c>
      <c r="AA27">
        <v>21</v>
      </c>
      <c r="AB27">
        <v>69</v>
      </c>
      <c r="AC27">
        <v>41</v>
      </c>
      <c r="AD27">
        <v>25</v>
      </c>
      <c r="AE27">
        <v>5.64</v>
      </c>
      <c r="AF27">
        <v>0.33600000000000002</v>
      </c>
      <c r="AG27">
        <v>0.96599999999999997</v>
      </c>
      <c r="AH27">
        <v>3.5915999999999997E-2</v>
      </c>
      <c r="AI27">
        <v>6.9779159999999996</v>
      </c>
    </row>
    <row r="28" spans="1:35">
      <c r="A28" t="s">
        <v>20</v>
      </c>
      <c r="B28">
        <v>69.960972150000003</v>
      </c>
      <c r="C28">
        <v>2.3831625239999998</v>
      </c>
      <c r="D28">
        <v>2.107891435</v>
      </c>
      <c r="E28">
        <v>2.518331E-3</v>
      </c>
      <c r="F28">
        <v>2.0991991040000002</v>
      </c>
      <c r="G28">
        <v>2.526361E-3</v>
      </c>
      <c r="H28">
        <v>-8.6923309999999993E-3</v>
      </c>
      <c r="I28" s="5" t="s">
        <v>71</v>
      </c>
      <c r="J28">
        <v>112.4926214</v>
      </c>
      <c r="K28">
        <v>67.254643560000005</v>
      </c>
      <c r="L28">
        <v>69.574586339999996</v>
      </c>
      <c r="M28">
        <v>73.053686560000003</v>
      </c>
      <c r="N28">
        <v>2.034495685</v>
      </c>
      <c r="O28">
        <v>2.1046155409999998</v>
      </c>
      <c r="P28">
        <v>2.110739497</v>
      </c>
      <c r="Q28">
        <v>2.1083192670000002</v>
      </c>
      <c r="R28">
        <v>2.0761496930000001</v>
      </c>
      <c r="S28">
        <v>2.0959072129999998</v>
      </c>
      <c r="T28">
        <v>2.1020476889999999</v>
      </c>
      <c r="U28">
        <v>2.0996424089999999</v>
      </c>
      <c r="V28">
        <v>4.1654007999999999E-2</v>
      </c>
      <c r="W28">
        <v>-8.7083279999999996E-3</v>
      </c>
      <c r="X28">
        <v>-8.6918080000000005E-3</v>
      </c>
      <c r="Y28">
        <v>-8.6768580000000008E-3</v>
      </c>
      <c r="Z28">
        <v>41</v>
      </c>
      <c r="AA28">
        <v>72</v>
      </c>
      <c r="AB28">
        <v>0</v>
      </c>
      <c r="AC28">
        <v>10</v>
      </c>
      <c r="AD28">
        <v>127</v>
      </c>
      <c r="AE28">
        <v>2.46</v>
      </c>
      <c r="AF28">
        <v>1.1519999999999999</v>
      </c>
      <c r="AG28">
        <v>0</v>
      </c>
      <c r="AH28">
        <v>8.7600000000000004E-3</v>
      </c>
      <c r="AI28">
        <v>3.6207600000000002</v>
      </c>
    </row>
    <row r="29" spans="1:35">
      <c r="A29" t="s">
        <v>20</v>
      </c>
      <c r="B29">
        <v>6.5183041999999997E-2</v>
      </c>
      <c r="C29">
        <v>9.2182742999999998E-2</v>
      </c>
      <c r="D29">
        <v>-0.21748242600000001</v>
      </c>
      <c r="E29">
        <v>0.30756659600000003</v>
      </c>
      <c r="F29">
        <v>0</v>
      </c>
      <c r="G29">
        <v>0</v>
      </c>
      <c r="H29">
        <v>0.21748242600000001</v>
      </c>
      <c r="I29">
        <v>0.30756659600000003</v>
      </c>
      <c r="J29">
        <v>0</v>
      </c>
      <c r="K29">
        <v>6.4494594789999997</v>
      </c>
      <c r="L29">
        <v>0</v>
      </c>
      <c r="M29">
        <v>0.19554912699999999</v>
      </c>
      <c r="N29">
        <v>0</v>
      </c>
      <c r="O29">
        <v>0.106455249</v>
      </c>
      <c r="P29">
        <v>0</v>
      </c>
      <c r="Q29">
        <v>-0.65244727700000005</v>
      </c>
      <c r="R29">
        <v>0</v>
      </c>
      <c r="S29">
        <v>0</v>
      </c>
      <c r="T29">
        <v>0</v>
      </c>
      <c r="U29">
        <v>0</v>
      </c>
      <c r="V29">
        <v>0</v>
      </c>
      <c r="W29">
        <v>-0.106455249</v>
      </c>
      <c r="X29">
        <v>0</v>
      </c>
      <c r="Y29">
        <v>0.65244727700000005</v>
      </c>
      <c r="Z29">
        <v>77</v>
      </c>
      <c r="AA29">
        <v>11</v>
      </c>
      <c r="AB29">
        <v>134</v>
      </c>
      <c r="AC29">
        <v>0</v>
      </c>
      <c r="AD29">
        <v>28</v>
      </c>
      <c r="AE29">
        <v>4.62</v>
      </c>
      <c r="AF29">
        <v>0.17599999999999999</v>
      </c>
      <c r="AG29">
        <v>1.8759999999999999</v>
      </c>
      <c r="AH29">
        <v>0</v>
      </c>
      <c r="AI29">
        <v>6.6719999999999997</v>
      </c>
    </row>
    <row r="30" spans="1:35">
      <c r="A30" t="s">
        <v>20</v>
      </c>
      <c r="B30">
        <v>86.742401419999993</v>
      </c>
      <c r="C30">
        <v>2.4664517880000001</v>
      </c>
      <c r="D30">
        <v>2.7371491309999998</v>
      </c>
      <c r="E30">
        <v>4.1645129999999999E-3</v>
      </c>
      <c r="F30">
        <v>2.663537866</v>
      </c>
      <c r="G30">
        <v>5.7291089999999996E-3</v>
      </c>
      <c r="H30">
        <v>-7.3611264999999995E-2</v>
      </c>
      <c r="I30">
        <v>2.2089449999999999E-3</v>
      </c>
      <c r="J30">
        <v>82.820878629999996</v>
      </c>
      <c r="K30">
        <v>86.534402720000003</v>
      </c>
      <c r="L30">
        <v>88.368152240000001</v>
      </c>
      <c r="M30">
        <v>89.246172079999994</v>
      </c>
      <c r="N30">
        <v>2.7432876890000002</v>
      </c>
      <c r="O30">
        <v>2.732250413</v>
      </c>
      <c r="P30">
        <v>2.7383899569999999</v>
      </c>
      <c r="Q30">
        <v>2.7346684639999999</v>
      </c>
      <c r="R30">
        <v>2.6724667750000002</v>
      </c>
      <c r="S30">
        <v>2.6564798879999998</v>
      </c>
      <c r="T30">
        <v>2.6626097500000001</v>
      </c>
      <c r="U30">
        <v>2.6625950500000002</v>
      </c>
      <c r="V30">
        <v>-7.0820913999999999E-2</v>
      </c>
      <c r="W30">
        <v>-7.5770525000000005E-2</v>
      </c>
      <c r="X30">
        <v>-7.5780207000000002E-2</v>
      </c>
      <c r="Y30">
        <v>-7.2073414000000002E-2</v>
      </c>
      <c r="Z30">
        <v>0</v>
      </c>
      <c r="AA30">
        <v>150</v>
      </c>
      <c r="AB30">
        <v>20</v>
      </c>
      <c r="AC30">
        <v>13</v>
      </c>
      <c r="AD30">
        <v>67</v>
      </c>
      <c r="AE30">
        <v>0</v>
      </c>
      <c r="AF30">
        <v>2.4</v>
      </c>
      <c r="AG30">
        <v>0.28000000000000003</v>
      </c>
      <c r="AH30">
        <v>1.1388000000000001E-2</v>
      </c>
      <c r="AI30">
        <v>2.6913879999999999</v>
      </c>
    </row>
    <row r="31" spans="1:35">
      <c r="A31" t="s">
        <v>20</v>
      </c>
      <c r="B31">
        <v>34.245534820000003</v>
      </c>
      <c r="C31">
        <v>1.3083746270000001</v>
      </c>
      <c r="D31">
        <v>2.0471987290000002</v>
      </c>
      <c r="E31">
        <v>2.6102669999999999E-3</v>
      </c>
      <c r="F31">
        <v>2.0580480840000002</v>
      </c>
      <c r="G31">
        <v>2.6225630000000001E-3</v>
      </c>
      <c r="H31">
        <v>1.0849354E-2</v>
      </c>
      <c r="I31" s="5" t="s">
        <v>85</v>
      </c>
      <c r="J31">
        <v>36.381240949999999</v>
      </c>
      <c r="K31">
        <v>34.232192259999998</v>
      </c>
      <c r="L31">
        <v>33.314246070000003</v>
      </c>
      <c r="M31">
        <v>33.054459999999999</v>
      </c>
      <c r="N31">
        <v>2.0457549679999998</v>
      </c>
      <c r="O31">
        <v>2.0517193169999999</v>
      </c>
      <c r="P31">
        <v>2.045674166</v>
      </c>
      <c r="Q31">
        <v>2.045646466</v>
      </c>
      <c r="R31">
        <v>2.0565602909999998</v>
      </c>
      <c r="S31">
        <v>2.0625903970000001</v>
      </c>
      <c r="T31">
        <v>2.0565298950000002</v>
      </c>
      <c r="U31">
        <v>2.0565117509999999</v>
      </c>
      <c r="V31">
        <v>1.0805323E-2</v>
      </c>
      <c r="W31">
        <v>1.087108E-2</v>
      </c>
      <c r="X31">
        <v>1.0855729E-2</v>
      </c>
      <c r="Y31">
        <v>1.0865285000000001E-2</v>
      </c>
      <c r="Z31">
        <v>109</v>
      </c>
      <c r="AA31">
        <v>70</v>
      </c>
      <c r="AB31">
        <v>31</v>
      </c>
      <c r="AC31">
        <v>34</v>
      </c>
      <c r="AD31">
        <v>6</v>
      </c>
      <c r="AE31">
        <v>6.54</v>
      </c>
      <c r="AF31">
        <v>1.1200000000000001</v>
      </c>
      <c r="AG31">
        <v>0.434</v>
      </c>
      <c r="AH31">
        <v>2.9784000000000001E-2</v>
      </c>
      <c r="AI31">
        <v>8.1237840000000006</v>
      </c>
    </row>
    <row r="32" spans="1:35">
      <c r="A32" t="s">
        <v>20</v>
      </c>
      <c r="B32">
        <v>41.04842163</v>
      </c>
      <c r="C32">
        <v>0.34928582000000002</v>
      </c>
      <c r="D32">
        <v>2.1300221189999999</v>
      </c>
      <c r="E32">
        <v>1.1753530000000001E-3</v>
      </c>
      <c r="F32">
        <v>2.0914127589999998</v>
      </c>
      <c r="G32">
        <v>5.7393799999999997E-4</v>
      </c>
      <c r="H32">
        <v>-3.8609360000000002E-2</v>
      </c>
      <c r="I32">
        <v>6.0152600000000001E-4</v>
      </c>
      <c r="J32">
        <v>40.8037852</v>
      </c>
      <c r="K32">
        <v>40.799100719999998</v>
      </c>
      <c r="L32">
        <v>41.542378970000001</v>
      </c>
      <c r="M32">
        <v>59.855574580000003</v>
      </c>
      <c r="N32">
        <v>2.1291862359999998</v>
      </c>
      <c r="O32">
        <v>2.1291958100000001</v>
      </c>
      <c r="P32">
        <v>2.1316843099999998</v>
      </c>
      <c r="Q32">
        <v>2.1402540459999999</v>
      </c>
      <c r="R32">
        <v>2.0910144850000001</v>
      </c>
      <c r="S32">
        <v>2.0909994080000001</v>
      </c>
      <c r="T32">
        <v>2.092224383</v>
      </c>
      <c r="U32">
        <v>2.1106564919999999</v>
      </c>
      <c r="V32">
        <v>-3.8171750999999997E-2</v>
      </c>
      <c r="W32">
        <v>-3.8196401999999997E-2</v>
      </c>
      <c r="X32">
        <v>-3.9459926999999999E-2</v>
      </c>
      <c r="Y32">
        <v>-2.9597554000000002E-2</v>
      </c>
      <c r="Z32">
        <v>33</v>
      </c>
      <c r="AA32">
        <v>46</v>
      </c>
      <c r="AB32">
        <v>76</v>
      </c>
      <c r="AC32">
        <v>83</v>
      </c>
      <c r="AD32">
        <v>12</v>
      </c>
      <c r="AE32">
        <v>1.98</v>
      </c>
      <c r="AF32">
        <v>0.73599999999999999</v>
      </c>
      <c r="AG32">
        <v>1.0640000000000001</v>
      </c>
      <c r="AH32">
        <v>7.2707999999999995E-2</v>
      </c>
      <c r="AI32">
        <v>3.8527079999999998</v>
      </c>
    </row>
    <row r="33" spans="1:35">
      <c r="A33" t="s">
        <v>20</v>
      </c>
      <c r="B33">
        <v>55.775390080000001</v>
      </c>
      <c r="C33">
        <v>2.6005699120000001</v>
      </c>
      <c r="D33">
        <v>2.1479550349999998</v>
      </c>
      <c r="E33">
        <v>1.597121E-3</v>
      </c>
      <c r="F33">
        <v>2.1091401630000002</v>
      </c>
      <c r="G33">
        <v>2.0079830000000001E-3</v>
      </c>
      <c r="H33">
        <v>-3.8814872E-2</v>
      </c>
      <c r="I33">
        <v>6.1923200000000005E-4</v>
      </c>
      <c r="J33">
        <v>60.197715979999998</v>
      </c>
      <c r="K33">
        <v>54.935493219999998</v>
      </c>
      <c r="L33">
        <v>54.415779229999998</v>
      </c>
      <c r="M33">
        <v>53.552571890000003</v>
      </c>
      <c r="N33">
        <v>2.148851552</v>
      </c>
      <c r="O33">
        <v>2.1489162730000002</v>
      </c>
      <c r="P33">
        <v>2.1488632519999999</v>
      </c>
      <c r="Q33">
        <v>2.145189062</v>
      </c>
      <c r="R33">
        <v>2.1106536519999999</v>
      </c>
      <c r="S33">
        <v>2.1094716299999998</v>
      </c>
      <c r="T33">
        <v>2.1106697780000001</v>
      </c>
      <c r="U33">
        <v>2.1057655909999999</v>
      </c>
      <c r="V33">
        <v>-3.81979E-2</v>
      </c>
      <c r="W33">
        <v>-3.9444643000000001E-2</v>
      </c>
      <c r="X33">
        <v>-3.8193473999999998E-2</v>
      </c>
      <c r="Y33">
        <v>-3.9423471000000002E-2</v>
      </c>
      <c r="Z33">
        <v>34</v>
      </c>
      <c r="AA33">
        <v>58</v>
      </c>
      <c r="AB33">
        <v>22</v>
      </c>
      <c r="AC33">
        <v>117</v>
      </c>
      <c r="AD33">
        <v>19</v>
      </c>
      <c r="AE33">
        <v>2.04</v>
      </c>
      <c r="AF33">
        <v>0.92800000000000005</v>
      </c>
      <c r="AG33">
        <v>0.308</v>
      </c>
      <c r="AH33">
        <v>0.102492</v>
      </c>
      <c r="AI33">
        <v>3.3784920000000001</v>
      </c>
    </row>
    <row r="34" spans="1:35">
      <c r="A34" t="s">
        <v>20</v>
      </c>
      <c r="B34">
        <v>42.971336270000002</v>
      </c>
      <c r="C34">
        <v>0.280024306</v>
      </c>
      <c r="D34">
        <v>2.1045350730000001</v>
      </c>
      <c r="E34">
        <v>1.7700249999999999E-3</v>
      </c>
      <c r="F34">
        <v>2.0789556230000001</v>
      </c>
      <c r="G34">
        <v>1.5993419999999999E-3</v>
      </c>
      <c r="H34">
        <v>-2.5579451E-2</v>
      </c>
      <c r="I34">
        <v>3.2157140000000002E-3</v>
      </c>
      <c r="J34">
        <v>42.497624469999998</v>
      </c>
      <c r="K34">
        <v>43.04724564</v>
      </c>
      <c r="L34">
        <v>43.123515140000002</v>
      </c>
      <c r="M34">
        <v>43.216959840000001</v>
      </c>
      <c r="N34">
        <v>2.1070547120000001</v>
      </c>
      <c r="O34">
        <v>2.1045276679999998</v>
      </c>
      <c r="P34">
        <v>2.1045093349999999</v>
      </c>
      <c r="Q34">
        <v>2.1020485789999999</v>
      </c>
      <c r="R34">
        <v>2.0761855009999999</v>
      </c>
      <c r="S34">
        <v>2.079888419</v>
      </c>
      <c r="T34">
        <v>2.0798721040000001</v>
      </c>
      <c r="U34">
        <v>2.0798764670000001</v>
      </c>
      <c r="V34">
        <v>-3.0869211000000001E-2</v>
      </c>
      <c r="W34">
        <v>-2.4639248999999998E-2</v>
      </c>
      <c r="X34">
        <v>-2.4637230999999999E-2</v>
      </c>
      <c r="Y34">
        <v>-2.2172112000000001E-2</v>
      </c>
      <c r="Z34">
        <v>63</v>
      </c>
      <c r="AA34">
        <v>70</v>
      </c>
      <c r="AB34">
        <v>45</v>
      </c>
      <c r="AC34">
        <v>64</v>
      </c>
      <c r="AD34">
        <v>8</v>
      </c>
      <c r="AE34">
        <v>3.78</v>
      </c>
      <c r="AF34">
        <v>1.1200000000000001</v>
      </c>
      <c r="AG34">
        <v>0.63</v>
      </c>
      <c r="AH34">
        <v>5.6064000000000003E-2</v>
      </c>
      <c r="AI34">
        <v>5.5860640000000004</v>
      </c>
    </row>
    <row r="35" spans="1:35">
      <c r="A35" t="s">
        <v>20</v>
      </c>
      <c r="B35">
        <v>32.886863660000003</v>
      </c>
      <c r="C35">
        <v>2.5686752199999998</v>
      </c>
      <c r="D35">
        <v>2.0597919220000001</v>
      </c>
      <c r="E35">
        <v>3.5383340000000002E-3</v>
      </c>
      <c r="F35">
        <v>2.0709393820000002</v>
      </c>
      <c r="G35">
        <v>3.924851E-3</v>
      </c>
      <c r="H35">
        <v>1.114746E-2</v>
      </c>
      <c r="I35">
        <v>5.4036500000000001E-4</v>
      </c>
      <c r="J35">
        <v>34.481641549999999</v>
      </c>
      <c r="K35">
        <v>32.266767639999998</v>
      </c>
      <c r="L35">
        <v>35.789915880000002</v>
      </c>
      <c r="M35">
        <v>29.009129560000002</v>
      </c>
      <c r="N35">
        <v>2.0604069360000001</v>
      </c>
      <c r="O35">
        <v>2.0640741509999998</v>
      </c>
      <c r="P35">
        <v>2.0604555360000001</v>
      </c>
      <c r="Q35">
        <v>2.0542310650000002</v>
      </c>
      <c r="R35">
        <v>2.0712388819999998</v>
      </c>
      <c r="S35">
        <v>2.0761571089999999</v>
      </c>
      <c r="T35">
        <v>2.0712697439999999</v>
      </c>
      <c r="U35">
        <v>2.065091792</v>
      </c>
      <c r="V35">
        <v>1.0831946E-2</v>
      </c>
      <c r="W35">
        <v>1.2082958E-2</v>
      </c>
      <c r="X35">
        <v>1.0814208000000001E-2</v>
      </c>
      <c r="Y35">
        <v>1.0860727000000001E-2</v>
      </c>
      <c r="Z35">
        <v>145</v>
      </c>
      <c r="AA35">
        <v>9</v>
      </c>
      <c r="AB35">
        <v>40</v>
      </c>
      <c r="AC35">
        <v>14</v>
      </c>
      <c r="AD35">
        <v>42</v>
      </c>
      <c r="AE35">
        <v>8.6999999999999993</v>
      </c>
      <c r="AF35">
        <v>0.14399999999999999</v>
      </c>
      <c r="AG35">
        <v>0.56000000000000005</v>
      </c>
      <c r="AH35">
        <v>1.2264000000000001E-2</v>
      </c>
      <c r="AI35">
        <v>9.416264</v>
      </c>
    </row>
    <row r="36" spans="1:35">
      <c r="A36" t="s">
        <v>20</v>
      </c>
      <c r="B36">
        <v>42.886122530000002</v>
      </c>
      <c r="C36">
        <v>0.52896834699999995</v>
      </c>
      <c r="D36">
        <v>2.136885226</v>
      </c>
      <c r="E36">
        <v>9.8745400000000002E-4</v>
      </c>
      <c r="F36">
        <v>2.0980777490000002</v>
      </c>
      <c r="G36">
        <v>1.5853149999999999E-3</v>
      </c>
      <c r="H36">
        <v>-3.8807476E-2</v>
      </c>
      <c r="I36">
        <v>6.3264099999999998E-4</v>
      </c>
      <c r="J36">
        <v>42.182240380000003</v>
      </c>
      <c r="K36">
        <v>42.823993209999998</v>
      </c>
      <c r="L36">
        <v>42.865065680000001</v>
      </c>
      <c r="M36">
        <v>43.673190839999997</v>
      </c>
      <c r="N36">
        <v>2.1354093760000001</v>
      </c>
      <c r="O36">
        <v>2.137776197</v>
      </c>
      <c r="P36">
        <v>2.1365623349999998</v>
      </c>
      <c r="Q36">
        <v>2.1377929939999998</v>
      </c>
      <c r="R36">
        <v>2.0959693170000002</v>
      </c>
      <c r="S36">
        <v>2.0996015579999998</v>
      </c>
      <c r="T36">
        <v>2.097122159</v>
      </c>
      <c r="U36">
        <v>2.099617963</v>
      </c>
      <c r="V36">
        <v>-3.9440059E-2</v>
      </c>
      <c r="W36">
        <v>-3.8174639000000003E-2</v>
      </c>
      <c r="X36">
        <v>-3.9440176E-2</v>
      </c>
      <c r="Y36">
        <v>-3.8175030999999998E-2</v>
      </c>
      <c r="Z36">
        <v>32</v>
      </c>
      <c r="AA36">
        <v>61</v>
      </c>
      <c r="AB36">
        <v>60</v>
      </c>
      <c r="AC36">
        <v>91</v>
      </c>
      <c r="AD36">
        <v>6</v>
      </c>
      <c r="AE36">
        <v>1.92</v>
      </c>
      <c r="AF36">
        <v>0.97599999999999998</v>
      </c>
      <c r="AG36">
        <v>0.84</v>
      </c>
      <c r="AH36">
        <v>7.9715999999999995E-2</v>
      </c>
      <c r="AI36">
        <v>3.8157160000000001</v>
      </c>
    </row>
    <row r="37" spans="1:35">
      <c r="A37" t="s">
        <v>20</v>
      </c>
      <c r="B37">
        <v>44.031342420000001</v>
      </c>
      <c r="C37">
        <v>2.5467472920000001</v>
      </c>
      <c r="D37">
        <v>2.192479557</v>
      </c>
      <c r="E37">
        <v>2.798905E-3</v>
      </c>
      <c r="F37">
        <v>2.1188427920000001</v>
      </c>
      <c r="G37">
        <v>7.7966550000000004E-3</v>
      </c>
      <c r="H37">
        <v>-7.3636766000000006E-2</v>
      </c>
      <c r="I37">
        <v>5.0294370000000003E-3</v>
      </c>
      <c r="J37">
        <v>47.827963519999997</v>
      </c>
      <c r="K37">
        <v>44.621047359999999</v>
      </c>
      <c r="L37">
        <v>42.721829589999999</v>
      </c>
      <c r="M37">
        <v>40.954529209999997</v>
      </c>
      <c r="N37">
        <v>2.1876783639999999</v>
      </c>
      <c r="O37">
        <v>2.1934473919999999</v>
      </c>
      <c r="P37">
        <v>2.194396389</v>
      </c>
      <c r="Q37">
        <v>2.1943960840000001</v>
      </c>
      <c r="R37">
        <v>2.1057910039999999</v>
      </c>
      <c r="S37">
        <v>2.1199254989999998</v>
      </c>
      <c r="T37">
        <v>2.1248422950000001</v>
      </c>
      <c r="U37">
        <v>2.1248123689999998</v>
      </c>
      <c r="V37">
        <v>-8.1887360000000006E-2</v>
      </c>
      <c r="W37">
        <v>-7.3521893000000005E-2</v>
      </c>
      <c r="X37">
        <v>-6.9554093999999997E-2</v>
      </c>
      <c r="Y37">
        <v>-6.9583715000000004E-2</v>
      </c>
      <c r="Z37">
        <v>12</v>
      </c>
      <c r="AA37">
        <v>63</v>
      </c>
      <c r="AB37">
        <v>68</v>
      </c>
      <c r="AC37">
        <v>87</v>
      </c>
      <c r="AD37">
        <v>20</v>
      </c>
      <c r="AE37">
        <v>0.72</v>
      </c>
      <c r="AF37">
        <v>1.008</v>
      </c>
      <c r="AG37">
        <v>0.95199999999999996</v>
      </c>
      <c r="AH37">
        <v>7.6212000000000002E-2</v>
      </c>
      <c r="AI37">
        <v>2.7562120000000001</v>
      </c>
    </row>
    <row r="38" spans="1:35">
      <c r="A38" t="s">
        <v>20</v>
      </c>
      <c r="B38">
        <v>39.047716469999997</v>
      </c>
      <c r="C38">
        <v>0.79705659200000001</v>
      </c>
      <c r="D38">
        <v>2.1078742899999998</v>
      </c>
      <c r="E38">
        <v>1.6481029999999999E-3</v>
      </c>
      <c r="F38">
        <v>2.0822859170000001</v>
      </c>
      <c r="G38">
        <v>2.6472729999999999E-3</v>
      </c>
      <c r="H38">
        <v>-2.5588373000000001E-2</v>
      </c>
      <c r="I38">
        <v>1.607631E-3</v>
      </c>
      <c r="J38">
        <v>37.783798259999998</v>
      </c>
      <c r="K38">
        <v>39.232047049999998</v>
      </c>
      <c r="L38">
        <v>39.183174350000002</v>
      </c>
      <c r="M38">
        <v>39.99184623</v>
      </c>
      <c r="N38">
        <v>2.1069550449999999</v>
      </c>
      <c r="O38">
        <v>2.1069287669999999</v>
      </c>
      <c r="P38">
        <v>2.106884789</v>
      </c>
      <c r="Q38">
        <v>2.1107285569999998</v>
      </c>
      <c r="R38">
        <v>2.0785823780000001</v>
      </c>
      <c r="S38">
        <v>2.0822404589999999</v>
      </c>
      <c r="T38">
        <v>2.082251689</v>
      </c>
      <c r="U38">
        <v>2.0860691400000002</v>
      </c>
      <c r="V38">
        <v>-2.8372667000000001E-2</v>
      </c>
      <c r="W38">
        <v>-2.4688307999999999E-2</v>
      </c>
      <c r="X38">
        <v>-2.4633100000000002E-2</v>
      </c>
      <c r="Y38">
        <v>-2.4659416999999999E-2</v>
      </c>
      <c r="Z38">
        <v>80</v>
      </c>
      <c r="AA38">
        <v>73</v>
      </c>
      <c r="AB38">
        <v>34</v>
      </c>
      <c r="AC38">
        <v>38</v>
      </c>
      <c r="AD38">
        <v>25</v>
      </c>
      <c r="AE38">
        <v>4.8</v>
      </c>
      <c r="AF38">
        <v>1.1679999999999999</v>
      </c>
      <c r="AG38">
        <v>0.47599999999999998</v>
      </c>
      <c r="AH38">
        <v>3.3287999999999998E-2</v>
      </c>
      <c r="AI38">
        <v>6.4772879999999997</v>
      </c>
    </row>
    <row r="39" spans="1:35">
      <c r="A39" t="s">
        <v>20</v>
      </c>
      <c r="B39">
        <v>98.605981200000002</v>
      </c>
      <c r="C39">
        <v>3.0177823780000002</v>
      </c>
      <c r="D39">
        <v>2.1272234069999998</v>
      </c>
      <c r="E39">
        <v>5.3761549999999996E-3</v>
      </c>
      <c r="F39">
        <v>2.0994658410000002</v>
      </c>
      <c r="G39">
        <v>5.5487770000000004E-3</v>
      </c>
      <c r="H39">
        <v>-2.7757566000000001E-2</v>
      </c>
      <c r="I39">
        <v>9.9573499999999998E-4</v>
      </c>
      <c r="J39">
        <v>100.9896518</v>
      </c>
      <c r="K39">
        <v>101.06309039999999</v>
      </c>
      <c r="L39">
        <v>98.734335729999998</v>
      </c>
      <c r="M39">
        <v>93.636846879999993</v>
      </c>
      <c r="N39">
        <v>2.1338125680000002</v>
      </c>
      <c r="O39">
        <v>2.1249049069999999</v>
      </c>
      <c r="P39">
        <v>2.1197168369999999</v>
      </c>
      <c r="Q39">
        <v>2.130459315</v>
      </c>
      <c r="R39">
        <v>2.106960811</v>
      </c>
      <c r="S39">
        <v>2.0956441639999999</v>
      </c>
      <c r="T39">
        <v>2.0928527219999999</v>
      </c>
      <c r="U39">
        <v>2.1024056679999998</v>
      </c>
      <c r="V39">
        <v>-2.6851757E-2</v>
      </c>
      <c r="W39">
        <v>-2.9260742999999999E-2</v>
      </c>
      <c r="X39">
        <v>-2.6864115000000001E-2</v>
      </c>
      <c r="Y39">
        <v>-2.8053647000000001E-2</v>
      </c>
      <c r="Z39">
        <v>28</v>
      </c>
      <c r="AA39">
        <v>184</v>
      </c>
      <c r="AB39">
        <v>14</v>
      </c>
      <c r="AC39">
        <v>21</v>
      </c>
      <c r="AD39">
        <v>3</v>
      </c>
      <c r="AE39">
        <v>1.68</v>
      </c>
      <c r="AF39">
        <v>2.944</v>
      </c>
      <c r="AG39">
        <v>0.19600000000000001</v>
      </c>
      <c r="AH39">
        <v>1.8395999999999999E-2</v>
      </c>
      <c r="AI39">
        <v>4.8383960000000004</v>
      </c>
    </row>
    <row r="40" spans="1:35">
      <c r="A40" t="s">
        <v>20</v>
      </c>
      <c r="B40">
        <v>69.056143359999993</v>
      </c>
      <c r="C40">
        <v>2.4841146670000001</v>
      </c>
      <c r="D40">
        <v>2.1257475270000001</v>
      </c>
      <c r="E40">
        <v>3.593373E-3</v>
      </c>
      <c r="F40">
        <v>2.1010673729999998</v>
      </c>
      <c r="G40">
        <v>1.7040989999999999E-3</v>
      </c>
      <c r="H40">
        <v>-2.4680153999999999E-2</v>
      </c>
      <c r="I40">
        <v>2.9463829999999999E-3</v>
      </c>
      <c r="J40">
        <v>73.09842424</v>
      </c>
      <c r="K40">
        <v>69.067955620000006</v>
      </c>
      <c r="L40">
        <v>67.279389399999999</v>
      </c>
      <c r="M40">
        <v>66.778804160000007</v>
      </c>
      <c r="N40">
        <v>2.1196213419999999</v>
      </c>
      <c r="O40">
        <v>2.1267538500000001</v>
      </c>
      <c r="P40">
        <v>2.1283073300000002</v>
      </c>
      <c r="Q40">
        <v>2.1283075839999999</v>
      </c>
      <c r="R40">
        <v>2.0989727500000002</v>
      </c>
      <c r="S40">
        <v>2.103592956</v>
      </c>
      <c r="T40">
        <v>2.1014670870000001</v>
      </c>
      <c r="U40">
        <v>2.1002366979999998</v>
      </c>
      <c r="V40">
        <v>-2.0648592E-2</v>
      </c>
      <c r="W40">
        <v>-2.3160894000000001E-2</v>
      </c>
      <c r="X40">
        <v>-2.6840243E-2</v>
      </c>
      <c r="Y40">
        <v>-2.8070886E-2</v>
      </c>
      <c r="Z40">
        <v>53</v>
      </c>
      <c r="AA40">
        <v>40</v>
      </c>
      <c r="AB40">
        <v>30</v>
      </c>
      <c r="AC40">
        <v>42</v>
      </c>
      <c r="AD40">
        <v>85</v>
      </c>
      <c r="AE40">
        <v>3.18</v>
      </c>
      <c r="AF40">
        <v>0.64</v>
      </c>
      <c r="AG40">
        <v>0.42</v>
      </c>
      <c r="AH40">
        <v>3.6791999999999998E-2</v>
      </c>
      <c r="AI40">
        <v>4.2767920000000004</v>
      </c>
    </row>
    <row r="41" spans="1:35">
      <c r="A41" t="s">
        <v>20</v>
      </c>
      <c r="B41">
        <v>72.466445489999998</v>
      </c>
      <c r="C41">
        <v>1.1025646010000001</v>
      </c>
      <c r="D41">
        <v>2.1025945099999999</v>
      </c>
      <c r="E41">
        <v>3.0580450000000001E-3</v>
      </c>
      <c r="F41">
        <v>2.0842811029999999</v>
      </c>
      <c r="G41">
        <v>4.362889E-3</v>
      </c>
      <c r="H41">
        <v>-1.8313408E-2</v>
      </c>
      <c r="I41">
        <v>2.0363680000000002E-3</v>
      </c>
      <c r="J41">
        <v>74.350539810000001</v>
      </c>
      <c r="K41">
        <v>71.982005860000001</v>
      </c>
      <c r="L41">
        <v>71.544598989999997</v>
      </c>
      <c r="M41">
        <v>71.988637299999994</v>
      </c>
      <c r="N41">
        <v>2.0980965650000001</v>
      </c>
      <c r="O41">
        <v>2.105889592</v>
      </c>
      <c r="P41">
        <v>2.1015235109999999</v>
      </c>
      <c r="Q41">
        <v>2.104868373</v>
      </c>
      <c r="R41">
        <v>2.077092355</v>
      </c>
      <c r="S41">
        <v>2.0888659719999998</v>
      </c>
      <c r="T41">
        <v>2.0857411560000001</v>
      </c>
      <c r="U41">
        <v>2.085424927</v>
      </c>
      <c r="V41">
        <v>-2.1004209999999999E-2</v>
      </c>
      <c r="W41">
        <v>-1.702362E-2</v>
      </c>
      <c r="X41">
        <v>-1.5782355000000001E-2</v>
      </c>
      <c r="Y41">
        <v>-1.9443446E-2</v>
      </c>
      <c r="Z41">
        <v>72</v>
      </c>
      <c r="AA41">
        <v>65</v>
      </c>
      <c r="AB41">
        <v>18</v>
      </c>
      <c r="AC41">
        <v>16</v>
      </c>
      <c r="AD41">
        <v>79</v>
      </c>
      <c r="AE41">
        <v>4.32</v>
      </c>
      <c r="AF41">
        <v>1.04</v>
      </c>
      <c r="AG41">
        <v>0.252</v>
      </c>
      <c r="AH41">
        <v>1.4016000000000001E-2</v>
      </c>
      <c r="AI41">
        <v>5.6260159999999999</v>
      </c>
    </row>
    <row r="42" spans="1:35">
      <c r="A42" t="s">
        <v>20</v>
      </c>
      <c r="B42">
        <v>57.610315890000003</v>
      </c>
      <c r="C42">
        <v>0.86493126099999995</v>
      </c>
      <c r="D42">
        <v>2.109232767</v>
      </c>
      <c r="E42">
        <v>2.6008749999999999E-3</v>
      </c>
      <c r="F42">
        <v>2.088874997</v>
      </c>
      <c r="G42">
        <v>2.3181529999999999E-3</v>
      </c>
      <c r="H42">
        <v>-2.0357770000000001E-2</v>
      </c>
      <c r="I42">
        <v>1.018639E-3</v>
      </c>
      <c r="J42">
        <v>59.058700610000002</v>
      </c>
      <c r="K42">
        <v>57.403702150000001</v>
      </c>
      <c r="L42">
        <v>57.19057617</v>
      </c>
      <c r="M42">
        <v>56.788284640000001</v>
      </c>
      <c r="N42">
        <v>2.1048149719999998</v>
      </c>
      <c r="O42">
        <v>2.1099908690000002</v>
      </c>
      <c r="P42">
        <v>2.1114299729999999</v>
      </c>
      <c r="Q42">
        <v>2.1106952529999998</v>
      </c>
      <c r="R42">
        <v>2.0854172449999999</v>
      </c>
      <c r="S42">
        <v>2.088129323</v>
      </c>
      <c r="T42">
        <v>2.0907038930000001</v>
      </c>
      <c r="U42">
        <v>2.0912495280000001</v>
      </c>
      <c r="V42">
        <v>-1.9397727E-2</v>
      </c>
      <c r="W42">
        <v>-2.1861545999999999E-2</v>
      </c>
      <c r="X42">
        <v>-2.0726080000000001E-2</v>
      </c>
      <c r="Y42">
        <v>-1.9445725000000001E-2</v>
      </c>
      <c r="Z42">
        <v>104</v>
      </c>
      <c r="AA42">
        <v>5</v>
      </c>
      <c r="AB42">
        <v>11</v>
      </c>
      <c r="AC42">
        <v>107</v>
      </c>
      <c r="AD42">
        <v>23</v>
      </c>
      <c r="AE42">
        <v>6.24</v>
      </c>
      <c r="AF42">
        <v>0.08</v>
      </c>
      <c r="AG42">
        <v>0.154</v>
      </c>
      <c r="AH42">
        <v>9.3731999999999996E-2</v>
      </c>
      <c r="AI42">
        <v>6.5677320000000003</v>
      </c>
    </row>
    <row r="43" spans="1:35">
      <c r="A43" t="s">
        <v>20</v>
      </c>
      <c r="B43">
        <v>84.667101400000007</v>
      </c>
      <c r="C43">
        <v>2.0504859080000002</v>
      </c>
      <c r="D43">
        <v>2.1012351960000002</v>
      </c>
      <c r="E43">
        <v>1.6197078E-2</v>
      </c>
      <c r="F43">
        <v>2.087289669</v>
      </c>
      <c r="G43">
        <v>3.589212E-3</v>
      </c>
      <c r="H43">
        <v>-1.3945526999999999E-2</v>
      </c>
      <c r="I43">
        <v>1.4539593999999999E-2</v>
      </c>
      <c r="J43">
        <v>88.183256529999994</v>
      </c>
      <c r="K43">
        <v>83.948378070000004</v>
      </c>
      <c r="L43">
        <v>83.380740630000005</v>
      </c>
      <c r="M43">
        <v>83.156030360000003</v>
      </c>
      <c r="N43">
        <v>2.07424586</v>
      </c>
      <c r="O43">
        <v>2.1030136779999999</v>
      </c>
      <c r="P43">
        <v>2.1138561450000002</v>
      </c>
      <c r="Q43">
        <v>2.1138251019999998</v>
      </c>
      <c r="R43">
        <v>2.0854244620000002</v>
      </c>
      <c r="S43">
        <v>2.082320309</v>
      </c>
      <c r="T43">
        <v>2.0907237740000002</v>
      </c>
      <c r="U43">
        <v>2.0906901320000002</v>
      </c>
      <c r="V43">
        <v>1.1178601999999999E-2</v>
      </c>
      <c r="W43">
        <v>-2.0693369E-2</v>
      </c>
      <c r="X43">
        <v>-2.3132370999999999E-2</v>
      </c>
      <c r="Y43">
        <v>-2.3134970000000001E-2</v>
      </c>
      <c r="Z43">
        <v>25</v>
      </c>
      <c r="AA43">
        <v>125</v>
      </c>
      <c r="AB43">
        <v>31</v>
      </c>
      <c r="AC43">
        <v>15</v>
      </c>
      <c r="AD43">
        <v>54</v>
      </c>
      <c r="AE43">
        <v>1.5</v>
      </c>
      <c r="AF43">
        <v>2</v>
      </c>
      <c r="AG43">
        <v>0.434</v>
      </c>
      <c r="AH43">
        <v>1.3140000000000001E-2</v>
      </c>
      <c r="AI43">
        <v>3.9471400000000001</v>
      </c>
    </row>
    <row r="44" spans="1:35">
      <c r="A44" t="s">
        <v>20</v>
      </c>
      <c r="B44">
        <v>77.767551010000005</v>
      </c>
      <c r="C44">
        <v>0.81661634400000005</v>
      </c>
      <c r="D44">
        <v>2.0618499269999999</v>
      </c>
      <c r="E44">
        <v>1.1149910000000001E-3</v>
      </c>
      <c r="F44">
        <v>2.0720653379999998</v>
      </c>
      <c r="G44">
        <v>1.5345300000000001E-3</v>
      </c>
      <c r="H44">
        <v>1.0215411000000001E-2</v>
      </c>
      <c r="I44">
        <v>5.5194700000000001E-4</v>
      </c>
      <c r="J44">
        <v>79.125338850000006</v>
      </c>
      <c r="K44">
        <v>77.560406720000003</v>
      </c>
      <c r="L44">
        <v>77.436116639999995</v>
      </c>
      <c r="M44">
        <v>76.948341819999996</v>
      </c>
      <c r="N44">
        <v>2.0631428569999999</v>
      </c>
      <c r="O44">
        <v>2.062276056</v>
      </c>
      <c r="P44">
        <v>2.061896484</v>
      </c>
      <c r="Q44">
        <v>2.0600843109999998</v>
      </c>
      <c r="R44">
        <v>2.0743140919999998</v>
      </c>
      <c r="S44">
        <v>2.0721657000000002</v>
      </c>
      <c r="T44">
        <v>2.0717832440000001</v>
      </c>
      <c r="U44">
        <v>2.0699983149999999</v>
      </c>
      <c r="V44">
        <v>1.1171235E-2</v>
      </c>
      <c r="W44">
        <v>9.8896439999999995E-3</v>
      </c>
      <c r="X44">
        <v>9.8867599999999996E-3</v>
      </c>
      <c r="Y44">
        <v>9.9140040000000006E-3</v>
      </c>
      <c r="Z44">
        <v>24</v>
      </c>
      <c r="AA44">
        <v>149</v>
      </c>
      <c r="AB44">
        <v>34</v>
      </c>
      <c r="AC44">
        <v>22</v>
      </c>
      <c r="AD44">
        <v>21</v>
      </c>
      <c r="AE44">
        <v>1.44</v>
      </c>
      <c r="AF44">
        <v>2.3839999999999999</v>
      </c>
      <c r="AG44">
        <v>0.47599999999999998</v>
      </c>
      <c r="AH44">
        <v>1.9272000000000001E-2</v>
      </c>
      <c r="AI44">
        <v>4.3192719999999998</v>
      </c>
    </row>
    <row r="45" spans="1:35">
      <c r="A45" t="s">
        <v>20</v>
      </c>
      <c r="B45">
        <v>73.237936829999995</v>
      </c>
      <c r="C45">
        <v>2.2967975940000001</v>
      </c>
      <c r="D45">
        <v>2.067698526</v>
      </c>
      <c r="E45">
        <v>3.1763310000000001E-3</v>
      </c>
      <c r="F45">
        <v>2.0775910089999998</v>
      </c>
      <c r="G45">
        <v>3.1901329999999999E-3</v>
      </c>
      <c r="H45">
        <v>9.892484E-3</v>
      </c>
      <c r="I45" s="5" t="s">
        <v>76</v>
      </c>
      <c r="J45">
        <v>77.095910140000001</v>
      </c>
      <c r="K45">
        <v>72.838913390000002</v>
      </c>
      <c r="L45">
        <v>71.7031049</v>
      </c>
      <c r="M45">
        <v>71.313818870000006</v>
      </c>
      <c r="N45">
        <v>2.0729620240000002</v>
      </c>
      <c r="O45">
        <v>2.067443033</v>
      </c>
      <c r="P45">
        <v>2.0653470899999999</v>
      </c>
      <c r="Q45">
        <v>2.065041956</v>
      </c>
      <c r="R45">
        <v>2.0828748500000001</v>
      </c>
      <c r="S45">
        <v>2.077341589</v>
      </c>
      <c r="T45">
        <v>2.075237971</v>
      </c>
      <c r="U45">
        <v>2.0749096269999998</v>
      </c>
      <c r="V45">
        <v>9.9128259999999996E-3</v>
      </c>
      <c r="W45">
        <v>9.8985559999999993E-3</v>
      </c>
      <c r="X45">
        <v>9.8908810000000007E-3</v>
      </c>
      <c r="Y45">
        <v>9.8676709999999997E-3</v>
      </c>
      <c r="Z45">
        <v>42</v>
      </c>
      <c r="AA45">
        <v>101</v>
      </c>
      <c r="AB45">
        <v>49</v>
      </c>
      <c r="AC45">
        <v>8</v>
      </c>
      <c r="AD45">
        <v>50</v>
      </c>
      <c r="AE45">
        <v>2.52</v>
      </c>
      <c r="AF45">
        <v>1.6160000000000001</v>
      </c>
      <c r="AG45">
        <v>0.68600000000000005</v>
      </c>
      <c r="AH45">
        <v>7.0080000000000003E-3</v>
      </c>
      <c r="AI45">
        <v>4.829008</v>
      </c>
    </row>
    <row r="46" spans="1:35">
      <c r="A46" t="s">
        <v>20</v>
      </c>
      <c r="B46">
        <v>79.819069839999997</v>
      </c>
      <c r="C46">
        <v>1.2214669739999999</v>
      </c>
      <c r="D46">
        <v>2.1570344399999999</v>
      </c>
      <c r="E46">
        <v>7.15074E-4</v>
      </c>
      <c r="F46">
        <v>2.1175764379999999</v>
      </c>
      <c r="G46">
        <v>1.3777800000000001E-3</v>
      </c>
      <c r="H46">
        <v>-3.9458001999999999E-2</v>
      </c>
      <c r="I46">
        <v>1.0755199999999999E-3</v>
      </c>
      <c r="J46">
        <v>81.929707260000001</v>
      </c>
      <c r="K46">
        <v>79.032707860000002</v>
      </c>
      <c r="L46">
        <v>79.251584269999995</v>
      </c>
      <c r="M46">
        <v>79.062279959999998</v>
      </c>
      <c r="N46">
        <v>2.157789417</v>
      </c>
      <c r="O46">
        <v>2.1569369960000002</v>
      </c>
      <c r="P46">
        <v>2.1574961359999998</v>
      </c>
      <c r="Q46">
        <v>2.1559152099999999</v>
      </c>
      <c r="R46">
        <v>2.1199344330000001</v>
      </c>
      <c r="S46">
        <v>2.116478259</v>
      </c>
      <c r="T46">
        <v>2.117075759</v>
      </c>
      <c r="U46">
        <v>2.1168173010000002</v>
      </c>
      <c r="V46">
        <v>-3.7854984000000001E-2</v>
      </c>
      <c r="W46">
        <v>-4.0458737000000002E-2</v>
      </c>
      <c r="X46">
        <v>-4.0420377E-2</v>
      </c>
      <c r="Y46">
        <v>-3.9097909E-2</v>
      </c>
      <c r="Z46">
        <v>13</v>
      </c>
      <c r="AA46">
        <v>61</v>
      </c>
      <c r="AB46">
        <v>14</v>
      </c>
      <c r="AC46">
        <v>49</v>
      </c>
      <c r="AD46">
        <v>113</v>
      </c>
      <c r="AE46">
        <v>0.78</v>
      </c>
      <c r="AF46">
        <v>0.97599999999999998</v>
      </c>
      <c r="AG46">
        <v>0.19600000000000001</v>
      </c>
      <c r="AH46">
        <v>4.2923999999999997E-2</v>
      </c>
      <c r="AI46">
        <v>1.9949239999999999</v>
      </c>
    </row>
    <row r="47" spans="1:35">
      <c r="A47" t="s">
        <v>20</v>
      </c>
      <c r="B47">
        <v>55.479226750000002</v>
      </c>
      <c r="C47">
        <v>1.7316548650000001</v>
      </c>
      <c r="D47">
        <v>2.1039219060000001</v>
      </c>
      <c r="E47">
        <v>8.4505420000000001E-3</v>
      </c>
      <c r="F47">
        <v>2.0942606970000002</v>
      </c>
      <c r="G47">
        <v>3.6342470000000002E-3</v>
      </c>
      <c r="H47">
        <v>-9.6612099999999999E-3</v>
      </c>
      <c r="I47">
        <v>1.2041545000000001E-2</v>
      </c>
      <c r="J47">
        <v>58.220983680000003</v>
      </c>
      <c r="K47">
        <v>55.61252795</v>
      </c>
      <c r="L47">
        <v>54.445760989999997</v>
      </c>
      <c r="M47">
        <v>53.63763436</v>
      </c>
      <c r="N47">
        <v>2.0893452969999999</v>
      </c>
      <c r="O47">
        <v>2.107651336</v>
      </c>
      <c r="P47">
        <v>2.1098090809999999</v>
      </c>
      <c r="Q47">
        <v>2.1088819120000002</v>
      </c>
      <c r="R47">
        <v>2.1005218050000001</v>
      </c>
      <c r="S47">
        <v>2.0918800420000001</v>
      </c>
      <c r="T47">
        <v>2.0927857900000002</v>
      </c>
      <c r="U47">
        <v>2.0918551509999999</v>
      </c>
      <c r="V47">
        <v>1.1176508E-2</v>
      </c>
      <c r="W47">
        <v>-1.5771294000000002E-2</v>
      </c>
      <c r="X47">
        <v>-1.7023290999999999E-2</v>
      </c>
      <c r="Y47">
        <v>-1.7026761000000001E-2</v>
      </c>
      <c r="Z47">
        <v>19</v>
      </c>
      <c r="AA47">
        <v>33</v>
      </c>
      <c r="AB47">
        <v>116</v>
      </c>
      <c r="AC47">
        <v>0</v>
      </c>
      <c r="AD47">
        <v>82</v>
      </c>
      <c r="AE47">
        <v>1.1399999999999999</v>
      </c>
      <c r="AF47">
        <v>0.52800000000000002</v>
      </c>
      <c r="AG47">
        <v>1.6240000000000001</v>
      </c>
      <c r="AH47">
        <v>0</v>
      </c>
      <c r="AI47">
        <v>3.2919999999999998</v>
      </c>
    </row>
    <row r="48" spans="1:35">
      <c r="A48" t="s">
        <v>20</v>
      </c>
      <c r="B48">
        <v>60.973906460000002</v>
      </c>
      <c r="C48">
        <v>1.2407751069999999</v>
      </c>
      <c r="D48">
        <v>2.0693598830000002</v>
      </c>
      <c r="E48">
        <v>2.1771389999999998E-3</v>
      </c>
      <c r="F48">
        <v>2.0795698310000001</v>
      </c>
      <c r="G48">
        <v>2.6996619999999998E-3</v>
      </c>
      <c r="H48">
        <v>1.0209948E-2</v>
      </c>
      <c r="I48">
        <v>5.4858900000000004E-4</v>
      </c>
      <c r="J48">
        <v>63.056585099999999</v>
      </c>
      <c r="K48">
        <v>60.722169049999998</v>
      </c>
      <c r="L48">
        <v>59.857194040000003</v>
      </c>
      <c r="M48">
        <v>60.25967765</v>
      </c>
      <c r="N48">
        <v>2.0729283820000002</v>
      </c>
      <c r="O48">
        <v>2.068357438</v>
      </c>
      <c r="P48">
        <v>2.0670949329999999</v>
      </c>
      <c r="Q48">
        <v>2.0690587809999998</v>
      </c>
      <c r="R48">
        <v>2.084088376</v>
      </c>
      <c r="S48">
        <v>2.0782510510000001</v>
      </c>
      <c r="T48">
        <v>2.0770011820000001</v>
      </c>
      <c r="U48">
        <v>2.078938715</v>
      </c>
      <c r="V48">
        <v>1.1159993999999999E-2</v>
      </c>
      <c r="W48">
        <v>9.8936130000000008E-3</v>
      </c>
      <c r="X48">
        <v>9.9062490000000007E-3</v>
      </c>
      <c r="Y48">
        <v>9.8799339999999999E-3</v>
      </c>
      <c r="Z48">
        <v>98</v>
      </c>
      <c r="AA48">
        <v>33</v>
      </c>
      <c r="AB48">
        <v>17</v>
      </c>
      <c r="AC48">
        <v>54</v>
      </c>
      <c r="AD48">
        <v>48</v>
      </c>
      <c r="AE48">
        <v>5.88</v>
      </c>
      <c r="AF48">
        <v>0.52800000000000002</v>
      </c>
      <c r="AG48">
        <v>0.23799999999999999</v>
      </c>
      <c r="AH48">
        <v>4.7303999999999999E-2</v>
      </c>
      <c r="AI48">
        <v>6.6933040000000004</v>
      </c>
    </row>
    <row r="49" spans="1:35">
      <c r="A49" t="s">
        <v>20</v>
      </c>
      <c r="B49">
        <v>36.160786190000003</v>
      </c>
      <c r="C49">
        <v>0.68693375400000001</v>
      </c>
      <c r="D49">
        <v>2.0802094759999998</v>
      </c>
      <c r="E49">
        <v>3.6392899999999998E-4</v>
      </c>
      <c r="F49">
        <v>2.065386111</v>
      </c>
      <c r="G49">
        <v>7.1169099999999997E-4</v>
      </c>
      <c r="H49">
        <v>-1.4823365E-2</v>
      </c>
      <c r="I49">
        <v>1.0523819999999999E-3</v>
      </c>
      <c r="J49">
        <v>37.329055500000003</v>
      </c>
      <c r="K49">
        <v>35.89251007</v>
      </c>
      <c r="L49">
        <v>35.559639330000003</v>
      </c>
      <c r="M49">
        <v>35.86193987</v>
      </c>
      <c r="N49">
        <v>2.0797743199999998</v>
      </c>
      <c r="O49">
        <v>2.0805292729999998</v>
      </c>
      <c r="P49">
        <v>2.0806073719999998</v>
      </c>
      <c r="Q49">
        <v>2.07992694</v>
      </c>
      <c r="R49">
        <v>2.066532612</v>
      </c>
      <c r="S49">
        <v>2.06477121</v>
      </c>
      <c r="T49">
        <v>2.0648103510000002</v>
      </c>
      <c r="U49">
        <v>2.0654302709999999</v>
      </c>
      <c r="V49">
        <v>-1.3241708E-2</v>
      </c>
      <c r="W49">
        <v>-1.5758062999999999E-2</v>
      </c>
      <c r="X49">
        <v>-1.5797021000000001E-2</v>
      </c>
      <c r="Y49">
        <v>-1.4496669E-2</v>
      </c>
      <c r="Z49">
        <v>32</v>
      </c>
      <c r="AA49">
        <v>11</v>
      </c>
      <c r="AB49">
        <v>186</v>
      </c>
      <c r="AC49">
        <v>0</v>
      </c>
      <c r="AD49">
        <v>21</v>
      </c>
      <c r="AE49">
        <v>1.92</v>
      </c>
      <c r="AF49">
        <v>0.17599999999999999</v>
      </c>
      <c r="AG49">
        <v>2.6040000000000001</v>
      </c>
      <c r="AH49">
        <v>0</v>
      </c>
      <c r="AI49">
        <v>4.7</v>
      </c>
    </row>
    <row r="50" spans="1:35">
      <c r="A50" t="s">
        <v>20</v>
      </c>
      <c r="B50">
        <v>41.866516109999999</v>
      </c>
      <c r="C50">
        <v>0.32675667800000002</v>
      </c>
      <c r="D50">
        <v>2.6130463430000002</v>
      </c>
      <c r="E50">
        <v>1.9669420000000002E-3</v>
      </c>
      <c r="F50">
        <v>2.5732621660000001</v>
      </c>
      <c r="G50">
        <v>1.850874E-3</v>
      </c>
      <c r="H50">
        <v>-3.9784176999999997E-2</v>
      </c>
      <c r="I50">
        <v>1.117662E-3</v>
      </c>
      <c r="J50">
        <v>42.12598466</v>
      </c>
      <c r="K50">
        <v>42.199920980000002</v>
      </c>
      <c r="L50">
        <v>41.760929529999999</v>
      </c>
      <c r="M50">
        <v>41.379229289999998</v>
      </c>
      <c r="N50">
        <v>2.610601843</v>
      </c>
      <c r="O50">
        <v>2.615520611</v>
      </c>
      <c r="P50">
        <v>2.6117319550000002</v>
      </c>
      <c r="Q50">
        <v>2.614330963</v>
      </c>
      <c r="R50">
        <v>2.5701723570000001</v>
      </c>
      <c r="S50">
        <v>2.575097768</v>
      </c>
      <c r="T50">
        <v>2.573883608</v>
      </c>
      <c r="U50">
        <v>2.573894932</v>
      </c>
      <c r="V50">
        <v>-4.0429486000000001E-2</v>
      </c>
      <c r="W50">
        <v>-4.0422843E-2</v>
      </c>
      <c r="X50">
        <v>-3.7848346999999997E-2</v>
      </c>
      <c r="Y50">
        <v>-4.0436030999999997E-2</v>
      </c>
      <c r="Z50">
        <v>0</v>
      </c>
      <c r="AA50">
        <v>41</v>
      </c>
      <c r="AB50">
        <v>197</v>
      </c>
      <c r="AC50">
        <v>10</v>
      </c>
      <c r="AD50">
        <v>2</v>
      </c>
      <c r="AE50">
        <v>0</v>
      </c>
      <c r="AF50">
        <v>0.65600000000000003</v>
      </c>
      <c r="AG50">
        <v>2.758</v>
      </c>
      <c r="AH50">
        <v>8.7600000000000004E-3</v>
      </c>
      <c r="AI50">
        <v>3.4227599999999998</v>
      </c>
    </row>
    <row r="51" spans="1:35">
      <c r="A51" t="s">
        <v>20</v>
      </c>
      <c r="B51">
        <v>49.275802669999997</v>
      </c>
      <c r="C51">
        <v>0.78333839100000002</v>
      </c>
      <c r="D51">
        <v>2.0433743359999998</v>
      </c>
      <c r="E51">
        <v>8.7675600000000002E-4</v>
      </c>
      <c r="F51">
        <v>2.0532741720000001</v>
      </c>
      <c r="G51">
        <v>8.7278400000000004E-4</v>
      </c>
      <c r="H51">
        <v>9.8998360000000004E-3</v>
      </c>
      <c r="I51" s="5" t="s">
        <v>86</v>
      </c>
      <c r="J51">
        <v>50.624082270000002</v>
      </c>
      <c r="K51">
        <v>48.947879999999998</v>
      </c>
      <c r="L51">
        <v>48.700352340000002</v>
      </c>
      <c r="M51">
        <v>48.83089605</v>
      </c>
      <c r="N51">
        <v>2.0440505560000002</v>
      </c>
      <c r="O51">
        <v>2.0422046969999998</v>
      </c>
      <c r="P51">
        <v>2.0428701330000001</v>
      </c>
      <c r="Q51">
        <v>2.0443719589999998</v>
      </c>
      <c r="R51">
        <v>2.0539506200000002</v>
      </c>
      <c r="S51">
        <v>2.0521287670000001</v>
      </c>
      <c r="T51">
        <v>2.0527446120000001</v>
      </c>
      <c r="U51">
        <v>2.0542726899999999</v>
      </c>
      <c r="V51">
        <v>9.9000640000000001E-3</v>
      </c>
      <c r="W51">
        <v>9.9240700000000001E-3</v>
      </c>
      <c r="X51">
        <v>9.8744790000000002E-3</v>
      </c>
      <c r="Y51">
        <v>9.9007309999999994E-3</v>
      </c>
      <c r="Z51">
        <v>80</v>
      </c>
      <c r="AA51">
        <v>54</v>
      </c>
      <c r="AB51">
        <v>64</v>
      </c>
      <c r="AC51">
        <v>33</v>
      </c>
      <c r="AD51">
        <v>19</v>
      </c>
      <c r="AE51">
        <v>4.8</v>
      </c>
      <c r="AF51">
        <v>0.86399999999999999</v>
      </c>
      <c r="AG51">
        <v>0.89600000000000002</v>
      </c>
      <c r="AH51">
        <v>2.8908E-2</v>
      </c>
      <c r="AI51">
        <v>6.588908</v>
      </c>
    </row>
    <row r="52" spans="1:35">
      <c r="A52" t="s">
        <v>20</v>
      </c>
      <c r="B52">
        <v>71.779910450000003</v>
      </c>
      <c r="C52">
        <v>0.58442255300000001</v>
      </c>
      <c r="D52">
        <v>2.1107558360000001</v>
      </c>
      <c r="E52">
        <v>1.339362E-3</v>
      </c>
      <c r="F52">
        <v>2.0910075369999999</v>
      </c>
      <c r="G52">
        <v>1.0620849999999999E-3</v>
      </c>
      <c r="H52">
        <v>-1.9748299E-2</v>
      </c>
      <c r="I52">
        <v>1.811207E-3</v>
      </c>
      <c r="J52">
        <v>72.706329010000005</v>
      </c>
      <c r="K52">
        <v>71.751971690000005</v>
      </c>
      <c r="L52">
        <v>71.558194169999993</v>
      </c>
      <c r="M52">
        <v>71.103146940000002</v>
      </c>
      <c r="N52">
        <v>2.1097593570000002</v>
      </c>
      <c r="O52">
        <v>2.1094249550000002</v>
      </c>
      <c r="P52">
        <v>2.1109967369999998</v>
      </c>
      <c r="Q52">
        <v>2.1128422950000001</v>
      </c>
      <c r="R52">
        <v>2.0927542250000002</v>
      </c>
      <c r="S52">
        <v>2.0899998979999999</v>
      </c>
      <c r="T52">
        <v>2.0903441219999999</v>
      </c>
      <c r="U52">
        <v>2.0909319019999999</v>
      </c>
      <c r="V52">
        <v>-1.7005131999999999E-2</v>
      </c>
      <c r="W52">
        <v>-1.9425056999999999E-2</v>
      </c>
      <c r="X52">
        <v>-2.0652614999999999E-2</v>
      </c>
      <c r="Y52">
        <v>-2.1910393E-2</v>
      </c>
      <c r="Z52">
        <v>71</v>
      </c>
      <c r="AA52">
        <v>47</v>
      </c>
      <c r="AB52">
        <v>6</v>
      </c>
      <c r="AC52">
        <v>119</v>
      </c>
      <c r="AD52">
        <v>7</v>
      </c>
      <c r="AE52">
        <v>4.26</v>
      </c>
      <c r="AF52">
        <v>0.752</v>
      </c>
      <c r="AG52">
        <v>8.4000000000000005E-2</v>
      </c>
      <c r="AH52">
        <v>0.104244</v>
      </c>
      <c r="AI52">
        <v>5.2002439999999996</v>
      </c>
    </row>
    <row r="53" spans="1:35">
      <c r="A53" t="s">
        <v>20</v>
      </c>
      <c r="B53">
        <v>20.896828410000001</v>
      </c>
      <c r="C53">
        <v>1.4526456590000001</v>
      </c>
      <c r="D53">
        <v>3.031749445</v>
      </c>
      <c r="E53">
        <v>6.3315027999999995E-2</v>
      </c>
      <c r="F53">
        <v>2.9185526400000001</v>
      </c>
      <c r="G53">
        <v>5.4580090999999997E-2</v>
      </c>
      <c r="H53">
        <v>-0.113196805</v>
      </c>
      <c r="I53">
        <v>9.1306689999999992E-3</v>
      </c>
      <c r="J53">
        <v>20.920789389999999</v>
      </c>
      <c r="K53">
        <v>18.597446120000001</v>
      </c>
      <c r="L53">
        <v>22.565676289999999</v>
      </c>
      <c r="M53">
        <v>21.50340186</v>
      </c>
      <c r="N53">
        <v>2.923827255</v>
      </c>
      <c r="O53">
        <v>3.0611602279999999</v>
      </c>
      <c r="P53">
        <v>3.0858536719999998</v>
      </c>
      <c r="Q53">
        <v>3.0561566240000002</v>
      </c>
      <c r="R53">
        <v>2.8252574629999998</v>
      </c>
      <c r="S53">
        <v>2.9479875789999999</v>
      </c>
      <c r="T53">
        <v>2.9628616700000001</v>
      </c>
      <c r="U53">
        <v>2.9381038469999998</v>
      </c>
      <c r="V53">
        <v>-9.8569792000000003E-2</v>
      </c>
      <c r="W53">
        <v>-0.113172649</v>
      </c>
      <c r="X53">
        <v>-0.122992002</v>
      </c>
      <c r="Y53">
        <v>-0.118052777</v>
      </c>
      <c r="Z53">
        <v>0</v>
      </c>
      <c r="AA53">
        <v>13</v>
      </c>
      <c r="AB53">
        <v>223</v>
      </c>
      <c r="AC53">
        <v>7</v>
      </c>
      <c r="AD53">
        <v>7</v>
      </c>
      <c r="AE53">
        <v>0</v>
      </c>
      <c r="AF53">
        <v>0.20799999999999999</v>
      </c>
      <c r="AG53">
        <v>3.1219999999999999</v>
      </c>
      <c r="AH53">
        <v>6.1320000000000003E-3</v>
      </c>
      <c r="AI53">
        <v>3.3361320000000001</v>
      </c>
    </row>
    <row r="54" spans="1:35">
      <c r="A54" t="s">
        <v>20</v>
      </c>
      <c r="B54">
        <v>32.789583919999998</v>
      </c>
      <c r="C54">
        <v>1.528848387</v>
      </c>
      <c r="D54">
        <v>2.598948043</v>
      </c>
      <c r="E54">
        <v>1.0502299999999999E-2</v>
      </c>
      <c r="F54">
        <v>2.5607836970000002</v>
      </c>
      <c r="G54">
        <v>8.7353139999999992E-3</v>
      </c>
      <c r="H54">
        <v>-3.8164347000000001E-2</v>
      </c>
      <c r="I54">
        <v>2.3846029999999999E-3</v>
      </c>
      <c r="J54">
        <v>30.18263292</v>
      </c>
      <c r="K54">
        <v>33.270976189999999</v>
      </c>
      <c r="L54">
        <v>33.675476879999998</v>
      </c>
      <c r="M54">
        <v>34.02924968</v>
      </c>
      <c r="N54">
        <v>2.6127996809999998</v>
      </c>
      <c r="O54">
        <v>2.6004838019999998</v>
      </c>
      <c r="P54">
        <v>2.5992724749999998</v>
      </c>
      <c r="Q54">
        <v>2.583236216</v>
      </c>
      <c r="R54">
        <v>2.5737446070000001</v>
      </c>
      <c r="S54">
        <v>2.5601322049999999</v>
      </c>
      <c r="T54">
        <v>2.5601540379999999</v>
      </c>
      <c r="U54">
        <v>2.549103938</v>
      </c>
      <c r="V54">
        <v>-3.9055074000000002E-2</v>
      </c>
      <c r="W54">
        <v>-4.0351597000000003E-2</v>
      </c>
      <c r="X54">
        <v>-3.9118436999999999E-2</v>
      </c>
      <c r="Y54">
        <v>-3.4132278000000002E-2</v>
      </c>
      <c r="Z54">
        <v>0</v>
      </c>
      <c r="AA54">
        <v>0</v>
      </c>
      <c r="AB54">
        <v>234</v>
      </c>
      <c r="AC54">
        <v>0</v>
      </c>
      <c r="AD54">
        <v>16</v>
      </c>
      <c r="AE54">
        <v>0</v>
      </c>
      <c r="AF54">
        <v>0</v>
      </c>
      <c r="AG54">
        <v>3.2759999999999998</v>
      </c>
      <c r="AH54">
        <v>0</v>
      </c>
      <c r="AI54">
        <v>3.2759999999999998</v>
      </c>
    </row>
    <row r="55" spans="1:35">
      <c r="A55" t="s">
        <v>20</v>
      </c>
      <c r="B55">
        <v>33.404042850000003</v>
      </c>
      <c r="C55">
        <v>0.38176972199999998</v>
      </c>
      <c r="D55">
        <v>2.5961903529999999</v>
      </c>
      <c r="E55">
        <v>9.4455770000000001E-3</v>
      </c>
      <c r="F55">
        <v>2.535859184</v>
      </c>
      <c r="G55">
        <v>9.7046860000000006E-3</v>
      </c>
      <c r="H55">
        <v>-6.0331168999999997E-2</v>
      </c>
      <c r="I55">
        <v>2.804113E-3</v>
      </c>
      <c r="J55">
        <v>33.020207429999999</v>
      </c>
      <c r="K55">
        <v>34.037379469999998</v>
      </c>
      <c r="L55">
        <v>33.237927110000001</v>
      </c>
      <c r="M55">
        <v>33.320657369999999</v>
      </c>
      <c r="N55">
        <v>2.6077073620000002</v>
      </c>
      <c r="O55">
        <v>2.5814857240000002</v>
      </c>
      <c r="P55">
        <v>2.5989940389999999</v>
      </c>
      <c r="Q55">
        <v>2.5965742860000001</v>
      </c>
      <c r="R55">
        <v>2.5442835960000001</v>
      </c>
      <c r="S55">
        <v>2.519356062</v>
      </c>
      <c r="T55">
        <v>2.539279198</v>
      </c>
      <c r="U55">
        <v>2.5405178799999999</v>
      </c>
      <c r="V55">
        <v>-6.3423766000000006E-2</v>
      </c>
      <c r="W55">
        <v>-6.2129662000000002E-2</v>
      </c>
      <c r="X55">
        <v>-5.9714840999999998E-2</v>
      </c>
      <c r="Y55">
        <v>-5.6056406000000003E-2</v>
      </c>
      <c r="Z55">
        <v>0</v>
      </c>
      <c r="AA55">
        <v>10</v>
      </c>
      <c r="AB55">
        <v>220</v>
      </c>
      <c r="AC55">
        <v>16</v>
      </c>
      <c r="AD55">
        <v>4</v>
      </c>
      <c r="AE55">
        <v>0</v>
      </c>
      <c r="AF55">
        <v>0.16</v>
      </c>
      <c r="AG55">
        <v>3.08</v>
      </c>
      <c r="AH55">
        <v>1.4016000000000001E-2</v>
      </c>
      <c r="AI55">
        <v>3.254016</v>
      </c>
    </row>
    <row r="56" spans="1:35">
      <c r="A56" t="s">
        <v>20</v>
      </c>
      <c r="B56">
        <v>36.482106889999997</v>
      </c>
      <c r="C56">
        <v>0.53111509899999998</v>
      </c>
      <c r="D56">
        <v>2.0197462239999999</v>
      </c>
      <c r="E56">
        <v>1.742447E-3</v>
      </c>
      <c r="F56">
        <v>2.0404039119999999</v>
      </c>
      <c r="G56">
        <v>2.6905950000000001E-3</v>
      </c>
      <c r="H56">
        <v>2.0657689E-2</v>
      </c>
      <c r="I56">
        <v>1.5359270000000001E-3</v>
      </c>
      <c r="J56">
        <v>36.041062590000003</v>
      </c>
      <c r="K56">
        <v>36.843331689999999</v>
      </c>
      <c r="L56">
        <v>37.154529080000003</v>
      </c>
      <c r="M56">
        <v>35.889504189999997</v>
      </c>
      <c r="N56">
        <v>2.0225611730000002</v>
      </c>
      <c r="O56">
        <v>2.0179858479999999</v>
      </c>
      <c r="P56">
        <v>2.019750707</v>
      </c>
      <c r="Q56">
        <v>2.0186871659999999</v>
      </c>
      <c r="R56">
        <v>2.044689843</v>
      </c>
      <c r="S56">
        <v>2.0401350009999999</v>
      </c>
      <c r="T56">
        <v>2.0395016290000001</v>
      </c>
      <c r="U56">
        <v>2.0372891759999998</v>
      </c>
      <c r="V56">
        <v>2.212867E-2</v>
      </c>
      <c r="W56">
        <v>2.2149153000000001E-2</v>
      </c>
      <c r="X56">
        <v>1.9750922000000001E-2</v>
      </c>
      <c r="Y56">
        <v>1.8602009999999999E-2</v>
      </c>
      <c r="Z56">
        <v>200</v>
      </c>
      <c r="AA56">
        <v>0</v>
      </c>
      <c r="AB56">
        <v>13</v>
      </c>
      <c r="AC56">
        <v>33</v>
      </c>
      <c r="AD56">
        <v>4</v>
      </c>
      <c r="AE56">
        <v>12</v>
      </c>
      <c r="AF56">
        <v>0</v>
      </c>
      <c r="AG56">
        <v>0.182</v>
      </c>
      <c r="AH56">
        <v>2.8908E-2</v>
      </c>
      <c r="AI56">
        <v>12.210908</v>
      </c>
    </row>
    <row r="57" spans="1:35">
      <c r="A57" t="s">
        <v>20</v>
      </c>
      <c r="B57">
        <v>5.4044796169999998</v>
      </c>
      <c r="C57">
        <v>7.6430883710000002</v>
      </c>
      <c r="D57">
        <v>0.70040564299999997</v>
      </c>
      <c r="E57">
        <v>0.99052315899999999</v>
      </c>
      <c r="F57">
        <v>1.0423677870000001</v>
      </c>
      <c r="G57">
        <v>1.474130661</v>
      </c>
      <c r="H57">
        <v>0.34196214400000002</v>
      </c>
      <c r="I57">
        <v>0.48360750200000002</v>
      </c>
      <c r="J57">
        <v>0</v>
      </c>
      <c r="K57">
        <v>18.87276718</v>
      </c>
      <c r="L57">
        <v>0</v>
      </c>
      <c r="M57">
        <v>16.213438849999999</v>
      </c>
      <c r="N57">
        <v>2.101216929</v>
      </c>
      <c r="O57">
        <v>0</v>
      </c>
      <c r="P57">
        <v>0</v>
      </c>
      <c r="Q57">
        <v>0</v>
      </c>
      <c r="R57">
        <v>3.1271033610000001</v>
      </c>
      <c r="S57">
        <v>0</v>
      </c>
      <c r="T57">
        <v>0</v>
      </c>
      <c r="U57">
        <v>0</v>
      </c>
      <c r="V57">
        <v>1.0258864320000001</v>
      </c>
      <c r="W57">
        <v>0</v>
      </c>
      <c r="X57">
        <v>0</v>
      </c>
      <c r="Y57">
        <v>0</v>
      </c>
      <c r="Z57">
        <v>5</v>
      </c>
      <c r="AA57">
        <v>16</v>
      </c>
      <c r="AB57">
        <v>209</v>
      </c>
      <c r="AC57">
        <v>0</v>
      </c>
      <c r="AD57">
        <v>20</v>
      </c>
      <c r="AE57">
        <v>0.3</v>
      </c>
      <c r="AF57">
        <v>0.25600000000000001</v>
      </c>
      <c r="AG57">
        <v>2.9260000000000002</v>
      </c>
      <c r="AH57">
        <v>0</v>
      </c>
      <c r="AI57">
        <v>3.4820000000000002</v>
      </c>
    </row>
    <row r="58" spans="1:35">
      <c r="A58" t="s">
        <v>20</v>
      </c>
      <c r="B58">
        <v>66.650127479999995</v>
      </c>
      <c r="C58">
        <v>2.2359352850000001</v>
      </c>
      <c r="D58">
        <v>2.1427179920000001</v>
      </c>
      <c r="E58">
        <v>2.7304819999999998E-3</v>
      </c>
      <c r="F58">
        <v>2.118096988</v>
      </c>
      <c r="G58">
        <v>3.5537590000000001E-3</v>
      </c>
      <c r="H58">
        <v>-2.4621003999999998E-2</v>
      </c>
      <c r="I58">
        <v>1.3616349999999999E-3</v>
      </c>
      <c r="J58">
        <v>65.559558809999999</v>
      </c>
      <c r="K58">
        <v>63.567878309999998</v>
      </c>
      <c r="L58">
        <v>68.187982770000005</v>
      </c>
      <c r="M58">
        <v>69.285090010000005</v>
      </c>
      <c r="N58">
        <v>2.1471725899999998</v>
      </c>
      <c r="O58">
        <v>2.1416396560000002</v>
      </c>
      <c r="P58">
        <v>2.1397816010000001</v>
      </c>
      <c r="Q58">
        <v>2.1422781209999999</v>
      </c>
      <c r="R58">
        <v>2.1241125919999999</v>
      </c>
      <c r="S58">
        <v>2.117321081</v>
      </c>
      <c r="T58">
        <v>2.1154842309999999</v>
      </c>
      <c r="U58">
        <v>2.1154700499999999</v>
      </c>
      <c r="V58">
        <v>-2.3059998000000002E-2</v>
      </c>
      <c r="W58">
        <v>-2.4318574999999999E-2</v>
      </c>
      <c r="X58">
        <v>-2.4297369999999999E-2</v>
      </c>
      <c r="Y58">
        <v>-2.6808070999999999E-2</v>
      </c>
      <c r="Z58">
        <v>27</v>
      </c>
      <c r="AA58">
        <v>41</v>
      </c>
      <c r="AB58">
        <v>89</v>
      </c>
      <c r="AC58">
        <v>75</v>
      </c>
      <c r="AD58">
        <v>18</v>
      </c>
      <c r="AE58">
        <v>1.62</v>
      </c>
      <c r="AF58">
        <v>0.65600000000000003</v>
      </c>
      <c r="AG58">
        <v>1.246</v>
      </c>
      <c r="AH58">
        <v>6.5699999999999995E-2</v>
      </c>
      <c r="AI58">
        <v>3.5876999999999999</v>
      </c>
    </row>
    <row r="59" spans="1:35">
      <c r="A59" t="s">
        <v>20</v>
      </c>
      <c r="B59">
        <v>92.482209789999999</v>
      </c>
      <c r="C59">
        <v>5.4180754970000002</v>
      </c>
      <c r="D59">
        <v>2.6206984219999998</v>
      </c>
      <c r="E59">
        <v>3.6170030000000001E-3</v>
      </c>
      <c r="F59">
        <v>2.5880438180000001</v>
      </c>
      <c r="G59">
        <v>4.9421339999999999E-3</v>
      </c>
      <c r="H59">
        <v>-3.2654603999999997E-2</v>
      </c>
      <c r="I59">
        <v>4.1344490000000001E-3</v>
      </c>
      <c r="J59">
        <v>83.389382789999999</v>
      </c>
      <c r="K59">
        <v>93.737923890000005</v>
      </c>
      <c r="L59">
        <v>95.292687200000003</v>
      </c>
      <c r="M59">
        <v>97.508845280000003</v>
      </c>
      <c r="N59">
        <v>2.61922487</v>
      </c>
      <c r="O59">
        <v>2.6265311269999998</v>
      </c>
      <c r="P59">
        <v>2.620340648</v>
      </c>
      <c r="Q59">
        <v>2.6166970410000001</v>
      </c>
      <c r="R59">
        <v>2.580078807</v>
      </c>
      <c r="S59">
        <v>2.5935794909999998</v>
      </c>
      <c r="T59">
        <v>2.5898341820000002</v>
      </c>
      <c r="U59">
        <v>2.5886827920000002</v>
      </c>
      <c r="V59">
        <v>-3.9146063000000002E-2</v>
      </c>
      <c r="W59">
        <v>-3.2951635999999999E-2</v>
      </c>
      <c r="X59">
        <v>-3.0506465999999999E-2</v>
      </c>
      <c r="Y59">
        <v>-2.8014249000000001E-2</v>
      </c>
      <c r="Z59">
        <v>0</v>
      </c>
      <c r="AA59">
        <v>151</v>
      </c>
      <c r="AB59">
        <v>72</v>
      </c>
      <c r="AC59">
        <v>5</v>
      </c>
      <c r="AD59">
        <v>22</v>
      </c>
      <c r="AE59">
        <v>0</v>
      </c>
      <c r="AF59">
        <v>2.4159999999999999</v>
      </c>
      <c r="AG59">
        <v>1.008</v>
      </c>
      <c r="AH59">
        <v>4.3800000000000002E-3</v>
      </c>
      <c r="AI59">
        <v>3.4283800000000002</v>
      </c>
    </row>
    <row r="60" spans="1:35">
      <c r="A60" t="s">
        <v>20</v>
      </c>
      <c r="B60">
        <v>82.960403970000002</v>
      </c>
      <c r="C60">
        <v>0.43259486699999999</v>
      </c>
      <c r="D60">
        <v>2.1496883979999999</v>
      </c>
      <c r="E60">
        <v>1.6692359999999999E-3</v>
      </c>
      <c r="F60">
        <v>2.1203993900000002</v>
      </c>
      <c r="G60">
        <v>1.323753E-3</v>
      </c>
      <c r="H60">
        <v>-2.9289007999999998E-2</v>
      </c>
      <c r="I60">
        <v>2.9393280000000002E-3</v>
      </c>
      <c r="J60">
        <v>82.8850178</v>
      </c>
      <c r="K60">
        <v>82.887219549999998</v>
      </c>
      <c r="L60">
        <v>83.63738223</v>
      </c>
      <c r="M60">
        <v>82.431996290000001</v>
      </c>
      <c r="N60">
        <v>2.1467974540000001</v>
      </c>
      <c r="O60">
        <v>2.150675519</v>
      </c>
      <c r="P60">
        <v>2.1506643740000002</v>
      </c>
      <c r="Q60">
        <v>2.1506162450000001</v>
      </c>
      <c r="R60">
        <v>2.1225199099999998</v>
      </c>
      <c r="S60">
        <v>2.1188706179999999</v>
      </c>
      <c r="T60">
        <v>2.120118556</v>
      </c>
      <c r="U60">
        <v>2.1200884740000001</v>
      </c>
      <c r="V60">
        <v>-2.4277544000000002E-2</v>
      </c>
      <c r="W60">
        <v>-3.1804900999999997E-2</v>
      </c>
      <c r="X60">
        <v>-3.0545817999999999E-2</v>
      </c>
      <c r="Y60">
        <v>-3.0527770999999999E-2</v>
      </c>
      <c r="Z60">
        <v>51</v>
      </c>
      <c r="AA60">
        <v>15</v>
      </c>
      <c r="AB60">
        <v>0</v>
      </c>
      <c r="AC60">
        <v>165</v>
      </c>
      <c r="AD60">
        <v>19</v>
      </c>
      <c r="AE60">
        <v>3.06</v>
      </c>
      <c r="AF60">
        <v>0.24</v>
      </c>
      <c r="AG60">
        <v>0</v>
      </c>
      <c r="AH60">
        <v>0.14454</v>
      </c>
      <c r="AI60">
        <v>3.4445399999999999</v>
      </c>
    </row>
    <row r="61" spans="1:35">
      <c r="A61" t="s">
        <v>20</v>
      </c>
      <c r="B61">
        <v>50.076920170000001</v>
      </c>
      <c r="C61">
        <v>1.0661003529999999</v>
      </c>
      <c r="D61">
        <v>2.5861028359999998</v>
      </c>
      <c r="E61">
        <v>5.1789139999999997E-3</v>
      </c>
      <c r="F61">
        <v>2.5525234409999999</v>
      </c>
      <c r="G61">
        <v>1.7584250000000001E-3</v>
      </c>
      <c r="H61">
        <v>-3.3579394999999998E-2</v>
      </c>
      <c r="I61">
        <v>4.8091410000000003E-3</v>
      </c>
      <c r="J61">
        <v>48.796954730000003</v>
      </c>
      <c r="K61">
        <v>49.468277380000004</v>
      </c>
      <c r="L61">
        <v>50.40717961</v>
      </c>
      <c r="M61">
        <v>51.635268969999998</v>
      </c>
      <c r="N61">
        <v>2.594579473</v>
      </c>
      <c r="O61">
        <v>2.581023348</v>
      </c>
      <c r="P61">
        <v>2.5830150700000001</v>
      </c>
      <c r="Q61">
        <v>2.5857934519999999</v>
      </c>
      <c r="R61">
        <v>2.554199594</v>
      </c>
      <c r="S61">
        <v>2.5541896940000002</v>
      </c>
      <c r="T61">
        <v>2.550078772</v>
      </c>
      <c r="U61">
        <v>2.551625703</v>
      </c>
      <c r="V61">
        <v>-4.0379879E-2</v>
      </c>
      <c r="W61">
        <v>-2.6833653999999998E-2</v>
      </c>
      <c r="X61">
        <v>-3.2936298000000003E-2</v>
      </c>
      <c r="Y61">
        <v>-3.4167748999999997E-2</v>
      </c>
      <c r="Z61">
        <v>0</v>
      </c>
      <c r="AA61">
        <v>32</v>
      </c>
      <c r="AB61">
        <v>185</v>
      </c>
      <c r="AC61">
        <v>9</v>
      </c>
      <c r="AD61">
        <v>24</v>
      </c>
      <c r="AE61">
        <v>0</v>
      </c>
      <c r="AF61">
        <v>0.51200000000000001</v>
      </c>
      <c r="AG61">
        <v>2.59</v>
      </c>
      <c r="AH61">
        <v>7.8840000000000004E-3</v>
      </c>
      <c r="AI61">
        <v>3.1098840000000001</v>
      </c>
    </row>
    <row r="62" spans="1:35">
      <c r="A62" t="s">
        <v>20</v>
      </c>
      <c r="B62">
        <v>47.134499890000001</v>
      </c>
      <c r="C62">
        <v>0.39731832700000003</v>
      </c>
      <c r="D62">
        <v>2.5920174989999998</v>
      </c>
      <c r="E62">
        <v>9.3448300000000002E-3</v>
      </c>
      <c r="F62">
        <v>2.534108721</v>
      </c>
      <c r="G62">
        <v>6.0690129999999998E-3</v>
      </c>
      <c r="H62">
        <v>-5.7908779000000001E-2</v>
      </c>
      <c r="I62">
        <v>3.296485E-3</v>
      </c>
      <c r="J62">
        <v>47.369064190000003</v>
      </c>
      <c r="K62">
        <v>46.465344979999998</v>
      </c>
      <c r="L62">
        <v>47.220981940000001</v>
      </c>
      <c r="M62">
        <v>47.48260844</v>
      </c>
      <c r="N62">
        <v>2.6077155940000001</v>
      </c>
      <c r="O62">
        <v>2.5843296470000001</v>
      </c>
      <c r="P62">
        <v>2.5855949229999999</v>
      </c>
      <c r="Q62">
        <v>2.590429833</v>
      </c>
      <c r="R62">
        <v>2.544296192</v>
      </c>
      <c r="S62">
        <v>2.5294953840000001</v>
      </c>
      <c r="T62">
        <v>2.5294874329999999</v>
      </c>
      <c r="U62">
        <v>2.5331558740000002</v>
      </c>
      <c r="V62">
        <v>-6.3419402E-2</v>
      </c>
      <c r="W62">
        <v>-5.4834263000000001E-2</v>
      </c>
      <c r="X62">
        <v>-5.6107490000000003E-2</v>
      </c>
      <c r="Y62">
        <v>-5.7273958999999999E-2</v>
      </c>
      <c r="Z62">
        <v>0</v>
      </c>
      <c r="AA62">
        <v>14</v>
      </c>
      <c r="AB62">
        <v>189</v>
      </c>
      <c r="AC62">
        <v>29</v>
      </c>
      <c r="AD62">
        <v>18</v>
      </c>
      <c r="AE62">
        <v>0</v>
      </c>
      <c r="AF62">
        <v>0.224</v>
      </c>
      <c r="AG62">
        <v>2.6459999999999999</v>
      </c>
      <c r="AH62">
        <v>2.5403999999999999E-2</v>
      </c>
      <c r="AI62">
        <v>2.8954040000000001</v>
      </c>
    </row>
    <row r="63" spans="1:35">
      <c r="A63" t="s">
        <v>20</v>
      </c>
      <c r="B63">
        <v>86.687504619999999</v>
      </c>
      <c r="C63">
        <v>0.91813094699999998</v>
      </c>
      <c r="D63">
        <v>2.0724864360000002</v>
      </c>
      <c r="E63">
        <v>1.7001010000000001E-3</v>
      </c>
      <c r="F63">
        <v>2.0823894219999999</v>
      </c>
      <c r="G63">
        <v>1.7168660000000001E-3</v>
      </c>
      <c r="H63">
        <v>9.9029860000000008E-3</v>
      </c>
      <c r="I63" s="5" t="s">
        <v>87</v>
      </c>
      <c r="J63">
        <v>88.211839420000004</v>
      </c>
      <c r="K63">
        <v>86.603757990000005</v>
      </c>
      <c r="L63">
        <v>86.00964012</v>
      </c>
      <c r="M63">
        <v>85.924780960000007</v>
      </c>
      <c r="N63">
        <v>2.075335946</v>
      </c>
      <c r="O63">
        <v>2.0722362030000001</v>
      </c>
      <c r="P63">
        <v>2.071208339</v>
      </c>
      <c r="Q63">
        <v>2.071165256</v>
      </c>
      <c r="R63">
        <v>2.0852636009999999</v>
      </c>
      <c r="S63">
        <v>2.0821502449999998</v>
      </c>
      <c r="T63">
        <v>2.0810918209999998</v>
      </c>
      <c r="U63">
        <v>2.0810520220000002</v>
      </c>
      <c r="V63">
        <v>9.9276550000000005E-3</v>
      </c>
      <c r="W63">
        <v>9.9140419999999996E-3</v>
      </c>
      <c r="X63">
        <v>9.8834820000000007E-3</v>
      </c>
      <c r="Y63">
        <v>9.886766E-3</v>
      </c>
      <c r="Z63">
        <v>59</v>
      </c>
      <c r="AA63">
        <v>89</v>
      </c>
      <c r="AB63">
        <v>25</v>
      </c>
      <c r="AC63">
        <v>33</v>
      </c>
      <c r="AD63">
        <v>44</v>
      </c>
      <c r="AE63">
        <v>3.54</v>
      </c>
      <c r="AF63">
        <v>1.4239999999999999</v>
      </c>
      <c r="AG63">
        <v>0.35</v>
      </c>
      <c r="AH63">
        <v>2.8908E-2</v>
      </c>
      <c r="AI63">
        <v>5.3429080000000004</v>
      </c>
    </row>
    <row r="64" spans="1:35">
      <c r="A64" t="s">
        <v>20</v>
      </c>
      <c r="B64">
        <v>43.179376589999997</v>
      </c>
      <c r="C64">
        <v>0.36427785400000001</v>
      </c>
      <c r="D64">
        <v>2.0949295819999998</v>
      </c>
      <c r="E64">
        <v>7.1719319999999998E-3</v>
      </c>
      <c r="F64">
        <v>2.0739587799999999</v>
      </c>
      <c r="G64">
        <v>5.6634720000000001E-3</v>
      </c>
      <c r="H64">
        <v>-2.0970802E-2</v>
      </c>
      <c r="I64">
        <v>3.6132120000000002E-3</v>
      </c>
      <c r="J64">
        <v>43.711623920000001</v>
      </c>
      <c r="K64">
        <v>43.02880502</v>
      </c>
      <c r="L64">
        <v>43.264216230000002</v>
      </c>
      <c r="M64">
        <v>42.712861169999996</v>
      </c>
      <c r="N64">
        <v>2.1057083909999998</v>
      </c>
      <c r="O64">
        <v>2.0968744099999999</v>
      </c>
      <c r="P64">
        <v>2.0901227389999999</v>
      </c>
      <c r="Q64">
        <v>2.0870127869999999</v>
      </c>
      <c r="R64">
        <v>2.0789138880000002</v>
      </c>
      <c r="S64">
        <v>2.07988989</v>
      </c>
      <c r="T64">
        <v>2.0706736380000001</v>
      </c>
      <c r="U64">
        <v>2.0663577040000001</v>
      </c>
      <c r="V64">
        <v>-2.6794503000000001E-2</v>
      </c>
      <c r="W64">
        <v>-1.6984519999999999E-2</v>
      </c>
      <c r="X64">
        <v>-1.9449101E-2</v>
      </c>
      <c r="Y64">
        <v>-2.0655083000000001E-2</v>
      </c>
      <c r="Z64">
        <v>63</v>
      </c>
      <c r="AA64">
        <v>42</v>
      </c>
      <c r="AB64">
        <v>82</v>
      </c>
      <c r="AC64">
        <v>36</v>
      </c>
      <c r="AD64">
        <v>27</v>
      </c>
      <c r="AE64">
        <v>3.78</v>
      </c>
      <c r="AF64">
        <v>0.67200000000000004</v>
      </c>
      <c r="AG64">
        <v>1.1479999999999999</v>
      </c>
      <c r="AH64">
        <v>3.1536000000000002E-2</v>
      </c>
      <c r="AI64">
        <v>5.6315359999999997</v>
      </c>
    </row>
    <row r="65" spans="1:35">
      <c r="A65" t="s">
        <v>20</v>
      </c>
      <c r="B65">
        <v>59.063790580000003</v>
      </c>
      <c r="C65">
        <v>3.0506854080000001</v>
      </c>
      <c r="D65">
        <v>2.0795076570000002</v>
      </c>
      <c r="E65">
        <v>6.2442089999999997E-3</v>
      </c>
      <c r="F65">
        <v>2.0637259760000002</v>
      </c>
      <c r="G65">
        <v>2.897508E-3</v>
      </c>
      <c r="H65">
        <v>-1.5781680999999999E-2</v>
      </c>
      <c r="I65">
        <v>3.9741280000000004E-3</v>
      </c>
      <c r="J65">
        <v>61.843702360000002</v>
      </c>
      <c r="K65">
        <v>53.901581229999998</v>
      </c>
      <c r="L65">
        <v>60.334752080000001</v>
      </c>
      <c r="M65">
        <v>60.175126630000001</v>
      </c>
      <c r="N65">
        <v>2.0885325620000001</v>
      </c>
      <c r="O65">
        <v>2.0714201989999999</v>
      </c>
      <c r="P65">
        <v>2.0769574350000002</v>
      </c>
      <c r="Q65">
        <v>2.0811204330000002</v>
      </c>
      <c r="R65">
        <v>2.0666106370000001</v>
      </c>
      <c r="S65">
        <v>2.0605203909999998</v>
      </c>
      <c r="T65">
        <v>2.0611538870000001</v>
      </c>
      <c r="U65">
        <v>2.0666189890000002</v>
      </c>
      <c r="V65">
        <v>-2.1921924999999998E-2</v>
      </c>
      <c r="W65">
        <v>-1.0899808E-2</v>
      </c>
      <c r="X65">
        <v>-1.5803548000000001E-2</v>
      </c>
      <c r="Y65">
        <v>-1.4501444E-2</v>
      </c>
      <c r="Z65">
        <v>49</v>
      </c>
      <c r="AA65">
        <v>100</v>
      </c>
      <c r="AB65">
        <v>39</v>
      </c>
      <c r="AC65">
        <v>47</v>
      </c>
      <c r="AD65">
        <v>15</v>
      </c>
      <c r="AE65">
        <v>2.94</v>
      </c>
      <c r="AF65">
        <v>1.6</v>
      </c>
      <c r="AG65">
        <v>0.54600000000000004</v>
      </c>
      <c r="AH65">
        <v>4.1172E-2</v>
      </c>
      <c r="AI65">
        <v>5.1271719999999998</v>
      </c>
    </row>
    <row r="66" spans="1:35">
      <c r="A66" t="s">
        <v>20</v>
      </c>
      <c r="B66">
        <v>60.277455330000002</v>
      </c>
      <c r="C66">
        <v>2.1512355799999998</v>
      </c>
      <c r="D66">
        <v>2.7971357399999999</v>
      </c>
      <c r="E66">
        <v>3.6772853000000001E-2</v>
      </c>
      <c r="F66">
        <v>2.6778589209999999</v>
      </c>
      <c r="G66">
        <v>4.4165947999999997E-2</v>
      </c>
      <c r="H66">
        <v>-0.11927681900000001</v>
      </c>
      <c r="I66">
        <v>1.0312732E-2</v>
      </c>
      <c r="J66">
        <v>60.59866092</v>
      </c>
      <c r="K66">
        <v>56.671294930000002</v>
      </c>
      <c r="L66">
        <v>61.855791600000003</v>
      </c>
      <c r="M66">
        <v>61.984073870000003</v>
      </c>
      <c r="N66">
        <v>2.7389095299999999</v>
      </c>
      <c r="O66">
        <v>2.8372041810000002</v>
      </c>
      <c r="P66">
        <v>2.8173579420000001</v>
      </c>
      <c r="Q66">
        <v>2.795071305</v>
      </c>
      <c r="R66">
        <v>2.6035623000000001</v>
      </c>
      <c r="S66">
        <v>2.7178909839999998</v>
      </c>
      <c r="T66">
        <v>2.7018080879999999</v>
      </c>
      <c r="U66">
        <v>2.688174311</v>
      </c>
      <c r="V66">
        <v>-0.13534723000000001</v>
      </c>
      <c r="W66">
        <v>-0.119313197</v>
      </c>
      <c r="X66">
        <v>-0.11554985399999999</v>
      </c>
      <c r="Y66">
        <v>-0.106896994</v>
      </c>
      <c r="Z66">
        <v>0</v>
      </c>
      <c r="AA66">
        <v>105</v>
      </c>
      <c r="AB66">
        <v>94</v>
      </c>
      <c r="AC66">
        <v>43</v>
      </c>
      <c r="AD66">
        <v>8</v>
      </c>
      <c r="AE66">
        <v>0</v>
      </c>
      <c r="AF66">
        <v>1.68</v>
      </c>
      <c r="AG66">
        <v>1.3160000000000001</v>
      </c>
      <c r="AH66">
        <v>3.7668E-2</v>
      </c>
      <c r="AI66">
        <v>3.033668</v>
      </c>
    </row>
    <row r="67" spans="1:35">
      <c r="A67" t="s">
        <v>20</v>
      </c>
      <c r="B67">
        <v>61.491947039999999</v>
      </c>
      <c r="C67">
        <v>4.3556468260000001</v>
      </c>
      <c r="D67">
        <v>2.1543870809999999</v>
      </c>
      <c r="E67">
        <v>1.3687919999999999E-2</v>
      </c>
      <c r="F67">
        <v>2.1257138919999998</v>
      </c>
      <c r="G67">
        <v>5.3737159999999997E-3</v>
      </c>
      <c r="H67">
        <v>-2.8673189000000002E-2</v>
      </c>
      <c r="I67">
        <v>8.6350130000000004E-3</v>
      </c>
      <c r="J67">
        <v>65.419078080000006</v>
      </c>
      <c r="K67">
        <v>54.111819840000003</v>
      </c>
      <c r="L67">
        <v>63.353371269999997</v>
      </c>
      <c r="M67">
        <v>63.083518980000001</v>
      </c>
      <c r="N67">
        <v>2.138649026</v>
      </c>
      <c r="O67">
        <v>2.1429160839999999</v>
      </c>
      <c r="P67">
        <v>2.1680027989999999</v>
      </c>
      <c r="Q67">
        <v>2.167980413</v>
      </c>
      <c r="R67">
        <v>2.1179662380000002</v>
      </c>
      <c r="S67">
        <v>2.123480807</v>
      </c>
      <c r="T67">
        <v>2.1312903030000001</v>
      </c>
      <c r="U67">
        <v>2.13011822</v>
      </c>
      <c r="V67">
        <v>-2.0682788000000001E-2</v>
      </c>
      <c r="W67">
        <v>-1.9435277000000001E-2</v>
      </c>
      <c r="X67">
        <v>-3.6712495999999997E-2</v>
      </c>
      <c r="Y67">
        <v>-3.7862193000000002E-2</v>
      </c>
      <c r="Z67">
        <v>43</v>
      </c>
      <c r="AA67">
        <v>0</v>
      </c>
      <c r="AB67">
        <v>0</v>
      </c>
      <c r="AC67">
        <v>107</v>
      </c>
      <c r="AD67">
        <v>100</v>
      </c>
      <c r="AE67">
        <v>2.58</v>
      </c>
      <c r="AF67">
        <v>0</v>
      </c>
      <c r="AG67">
        <v>0</v>
      </c>
      <c r="AH67">
        <v>9.3731999999999996E-2</v>
      </c>
      <c r="AI67">
        <v>2.6737320000000002</v>
      </c>
    </row>
    <row r="68" spans="1:35">
      <c r="A68" t="s">
        <v>20</v>
      </c>
      <c r="B68">
        <v>13.014990620000001</v>
      </c>
      <c r="C68">
        <v>7.5392952800000002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32.638968759999997</v>
      </c>
      <c r="K68">
        <v>8.4519423210000006</v>
      </c>
      <c r="L68">
        <v>6.9511326469999997</v>
      </c>
      <c r="M68">
        <v>23.641896880000001</v>
      </c>
      <c r="N68">
        <v>2.0461115419999998</v>
      </c>
      <c r="O68">
        <v>0</v>
      </c>
      <c r="P68">
        <v>0</v>
      </c>
      <c r="Q68">
        <v>0</v>
      </c>
      <c r="R68">
        <v>2.0573229340000001</v>
      </c>
      <c r="S68">
        <v>0</v>
      </c>
      <c r="T68">
        <v>0</v>
      </c>
      <c r="U68">
        <v>0</v>
      </c>
      <c r="V68">
        <v>1.1211392000000001E-2</v>
      </c>
      <c r="W68">
        <v>0</v>
      </c>
      <c r="X68">
        <v>0</v>
      </c>
      <c r="Y68">
        <v>0</v>
      </c>
      <c r="Z68">
        <v>96</v>
      </c>
      <c r="AA68">
        <v>22</v>
      </c>
      <c r="AB68">
        <v>113</v>
      </c>
      <c r="AC68">
        <v>5</v>
      </c>
      <c r="AD68">
        <v>14</v>
      </c>
      <c r="AE68">
        <v>5.76</v>
      </c>
      <c r="AF68">
        <v>0.35199999999999998</v>
      </c>
      <c r="AG68">
        <v>1.5820000000000001</v>
      </c>
      <c r="AH68">
        <v>4.3800000000000002E-3</v>
      </c>
      <c r="AI68">
        <v>7.6983800000000002</v>
      </c>
    </row>
    <row r="69" spans="1:35">
      <c r="A69" t="s">
        <v>20</v>
      </c>
      <c r="B69">
        <v>50.529848430000001</v>
      </c>
      <c r="C69">
        <v>0.69602991599999997</v>
      </c>
      <c r="D69">
        <v>2.1845201420000002</v>
      </c>
      <c r="E69">
        <v>1.0233773E-2</v>
      </c>
      <c r="F69">
        <v>2.126516198</v>
      </c>
      <c r="G69">
        <v>2.1497579999999999E-3</v>
      </c>
      <c r="H69">
        <v>-5.8003944000000002E-2</v>
      </c>
      <c r="I69">
        <v>1.0169515E-2</v>
      </c>
      <c r="J69">
        <v>50.006948850000001</v>
      </c>
      <c r="K69">
        <v>51.438027660000003</v>
      </c>
      <c r="L69">
        <v>49.718582349999998</v>
      </c>
      <c r="M69">
        <v>50.955834860000003</v>
      </c>
      <c r="N69">
        <v>2.1670708190000001</v>
      </c>
      <c r="O69">
        <v>2.1932635810000001</v>
      </c>
      <c r="P69">
        <v>2.1890940479999998</v>
      </c>
      <c r="Q69">
        <v>2.18865212</v>
      </c>
      <c r="R69">
        <v>2.1266552559999998</v>
      </c>
      <c r="S69">
        <v>2.1298178550000002</v>
      </c>
      <c r="T69">
        <v>2.1257031159999999</v>
      </c>
      <c r="U69">
        <v>2.123888564</v>
      </c>
      <c r="V69">
        <v>-4.0415563000000002E-2</v>
      </c>
      <c r="W69">
        <v>-6.3445725999999994E-2</v>
      </c>
      <c r="X69">
        <v>-6.3390931999999997E-2</v>
      </c>
      <c r="Y69">
        <v>-6.4763556E-2</v>
      </c>
      <c r="Z69">
        <v>14</v>
      </c>
      <c r="AA69">
        <v>27</v>
      </c>
      <c r="AB69">
        <v>18</v>
      </c>
      <c r="AC69">
        <v>102</v>
      </c>
      <c r="AD69">
        <v>89</v>
      </c>
      <c r="AE69">
        <v>0.84</v>
      </c>
      <c r="AF69">
        <v>0.432</v>
      </c>
      <c r="AG69">
        <v>0.252</v>
      </c>
      <c r="AH69">
        <v>8.9352000000000001E-2</v>
      </c>
      <c r="AI69">
        <v>1.6133519999999999</v>
      </c>
    </row>
    <row r="70" spans="1:35">
      <c r="A70" t="s">
        <v>20</v>
      </c>
      <c r="B70">
        <v>77.993524239999999</v>
      </c>
      <c r="C70">
        <v>0.52983423699999999</v>
      </c>
      <c r="D70">
        <v>2.148786136</v>
      </c>
      <c r="E70">
        <v>2.0000090000000001E-3</v>
      </c>
      <c r="F70">
        <v>2.1108731669999998</v>
      </c>
      <c r="G70">
        <v>2.613092E-3</v>
      </c>
      <c r="H70">
        <v>-3.7912968999999998E-2</v>
      </c>
      <c r="I70">
        <v>9.9252400000000005E-4</v>
      </c>
      <c r="J70">
        <v>75.367849719999995</v>
      </c>
      <c r="K70">
        <v>78.710872640000005</v>
      </c>
      <c r="L70">
        <v>77.822319859999993</v>
      </c>
      <c r="M70">
        <v>77.447380219999999</v>
      </c>
      <c r="N70">
        <v>1.466315751</v>
      </c>
      <c r="O70">
        <v>2.1464297889999999</v>
      </c>
      <c r="P70">
        <v>2.1486094009999999</v>
      </c>
      <c r="Q70">
        <v>2.1513192170000002</v>
      </c>
      <c r="R70">
        <v>1.4272088789999999</v>
      </c>
      <c r="S70">
        <v>2.1072862830000001</v>
      </c>
      <c r="T70">
        <v>2.1118964990000002</v>
      </c>
      <c r="U70">
        <v>2.1134367190000001</v>
      </c>
      <c r="V70">
        <v>-3.9106872000000001E-2</v>
      </c>
      <c r="W70">
        <v>-3.9143506000000002E-2</v>
      </c>
      <c r="X70">
        <v>-3.6712901999999999E-2</v>
      </c>
      <c r="Y70">
        <v>-3.7882498000000001E-2</v>
      </c>
      <c r="Z70">
        <v>9</v>
      </c>
      <c r="AA70">
        <v>106</v>
      </c>
      <c r="AB70">
        <v>11</v>
      </c>
      <c r="AC70">
        <v>52</v>
      </c>
      <c r="AD70">
        <v>72</v>
      </c>
      <c r="AE70">
        <v>0.54</v>
      </c>
      <c r="AF70">
        <v>1.696</v>
      </c>
      <c r="AG70">
        <v>0.154</v>
      </c>
      <c r="AH70">
        <v>4.5552000000000002E-2</v>
      </c>
      <c r="AI70">
        <v>2.4355519999999999</v>
      </c>
    </row>
    <row r="71" spans="1:35">
      <c r="A71" t="s">
        <v>20</v>
      </c>
      <c r="B71">
        <v>48.837077970000003</v>
      </c>
      <c r="C71">
        <v>0.107449188</v>
      </c>
      <c r="D71">
        <v>2.1505097850000001</v>
      </c>
      <c r="E71">
        <v>2.0865469999999998E-3</v>
      </c>
      <c r="F71">
        <v>2.1107410679999998</v>
      </c>
      <c r="G71">
        <v>2.5055300000000002E-3</v>
      </c>
      <c r="H71">
        <v>-3.9768717000000002E-2</v>
      </c>
      <c r="I71">
        <v>6.5132500000000002E-4</v>
      </c>
      <c r="J71">
        <v>48.871682290000003</v>
      </c>
      <c r="K71">
        <v>48.994759950000002</v>
      </c>
      <c r="L71">
        <v>48.769511299999998</v>
      </c>
      <c r="M71">
        <v>48.71235832</v>
      </c>
      <c r="N71">
        <v>2.1541149709999998</v>
      </c>
      <c r="O71">
        <v>2.1491681169999999</v>
      </c>
      <c r="P71">
        <v>2.1495446409999999</v>
      </c>
      <c r="Q71">
        <v>2.1492114120000001</v>
      </c>
      <c r="R71">
        <v>2.115009213</v>
      </c>
      <c r="S71">
        <v>2.1100386769999999</v>
      </c>
      <c r="T71">
        <v>2.1091048290000001</v>
      </c>
      <c r="U71">
        <v>2.1088115539999999</v>
      </c>
      <c r="V71">
        <v>-3.9105757999999997E-2</v>
      </c>
      <c r="W71">
        <v>-3.9129440000000001E-2</v>
      </c>
      <c r="X71">
        <v>-4.0439811999999999E-2</v>
      </c>
      <c r="Y71">
        <v>-4.0399857999999997E-2</v>
      </c>
      <c r="Z71">
        <v>40</v>
      </c>
      <c r="AA71">
        <v>7</v>
      </c>
      <c r="AB71">
        <v>32</v>
      </c>
      <c r="AC71">
        <v>123</v>
      </c>
      <c r="AD71">
        <v>48</v>
      </c>
      <c r="AE71">
        <v>2.4</v>
      </c>
      <c r="AF71">
        <v>0.112</v>
      </c>
      <c r="AG71">
        <v>0.44800000000000001</v>
      </c>
      <c r="AH71">
        <v>0.107748</v>
      </c>
      <c r="AI71">
        <v>3.0677479999999999</v>
      </c>
    </row>
    <row r="72" spans="1:35">
      <c r="A72" t="s">
        <v>20</v>
      </c>
      <c r="B72">
        <v>50.219264809999999</v>
      </c>
      <c r="C72">
        <v>0.54656265100000001</v>
      </c>
      <c r="D72">
        <v>2.6385661479999998</v>
      </c>
      <c r="E72">
        <v>5.107688E-3</v>
      </c>
      <c r="F72">
        <v>2.5672027389999998</v>
      </c>
      <c r="G72">
        <v>7.6038729999999997E-3</v>
      </c>
      <c r="H72">
        <v>-7.1363409000000003E-2</v>
      </c>
      <c r="I72">
        <v>2.737345E-3</v>
      </c>
      <c r="J72">
        <v>50.90136321</v>
      </c>
      <c r="K72">
        <v>50.151354069999996</v>
      </c>
      <c r="L72">
        <v>49.394271570000001</v>
      </c>
      <c r="M72">
        <v>50.430070370000003</v>
      </c>
      <c r="N72">
        <v>2.6345770439999998</v>
      </c>
      <c r="O72">
        <v>2.647212992</v>
      </c>
      <c r="P72">
        <v>2.6350486289999999</v>
      </c>
      <c r="Q72">
        <v>2.6374259250000001</v>
      </c>
      <c r="R72">
        <v>2.5603621580000002</v>
      </c>
      <c r="S72">
        <v>2.5800937460000002</v>
      </c>
      <c r="T72">
        <v>2.5641844119999999</v>
      </c>
      <c r="U72">
        <v>2.5641706389999999</v>
      </c>
      <c r="V72">
        <v>-7.4214885999999994E-2</v>
      </c>
      <c r="W72">
        <v>-6.7119245999999994E-2</v>
      </c>
      <c r="X72">
        <v>-7.0864216999999993E-2</v>
      </c>
      <c r="Y72">
        <v>-7.3255286000000003E-2</v>
      </c>
      <c r="Z72">
        <v>0</v>
      </c>
      <c r="AA72">
        <v>86</v>
      </c>
      <c r="AB72">
        <v>108</v>
      </c>
      <c r="AC72">
        <v>50</v>
      </c>
      <c r="AD72">
        <v>6</v>
      </c>
      <c r="AE72">
        <v>0</v>
      </c>
      <c r="AF72">
        <v>1.3759999999999999</v>
      </c>
      <c r="AG72">
        <v>1.512</v>
      </c>
      <c r="AH72">
        <v>4.3799999999999999E-2</v>
      </c>
      <c r="AI72">
        <v>2.9318</v>
      </c>
    </row>
    <row r="73" spans="1:35">
      <c r="A73" t="s">
        <v>20</v>
      </c>
      <c r="B73">
        <v>71.004516429999995</v>
      </c>
      <c r="C73">
        <v>0.81697667600000001</v>
      </c>
      <c r="D73">
        <v>1.945090537</v>
      </c>
      <c r="E73">
        <v>0.24695424299999999</v>
      </c>
      <c r="F73">
        <v>1.9215279709999999</v>
      </c>
      <c r="G73">
        <v>0.24579748000000001</v>
      </c>
      <c r="H73">
        <v>-2.3562565000000001E-2</v>
      </c>
      <c r="I73">
        <v>1.1567630000000001E-3</v>
      </c>
      <c r="J73">
        <v>70.889970149999996</v>
      </c>
      <c r="K73">
        <v>69.853437400000004</v>
      </c>
      <c r="L73">
        <v>71.666306329999998</v>
      </c>
      <c r="M73">
        <v>71.493805570000006</v>
      </c>
      <c r="N73">
        <v>1.4817577</v>
      </c>
      <c r="O73">
        <v>1.5958452460000001</v>
      </c>
      <c r="P73">
        <v>2.1203395920000001</v>
      </c>
      <c r="Q73">
        <v>2.1190867720000002</v>
      </c>
      <c r="R73">
        <v>1.4623690570000001</v>
      </c>
      <c r="S73">
        <v>1.5739185840000001</v>
      </c>
      <c r="T73">
        <v>2.0959551030000001</v>
      </c>
      <c r="U73">
        <v>2.0947102270000002</v>
      </c>
      <c r="V73">
        <v>-1.9388643000000001E-2</v>
      </c>
      <c r="W73">
        <v>-2.1926662E-2</v>
      </c>
      <c r="X73">
        <v>-2.4384488999999999E-2</v>
      </c>
      <c r="Y73">
        <v>-2.4376544999999999E-2</v>
      </c>
      <c r="Z73">
        <v>12</v>
      </c>
      <c r="AA73">
        <v>151</v>
      </c>
      <c r="AB73">
        <v>23</v>
      </c>
      <c r="AC73">
        <v>50</v>
      </c>
      <c r="AD73">
        <v>14</v>
      </c>
      <c r="AE73">
        <v>0.72</v>
      </c>
      <c r="AF73">
        <v>2.4159999999999999</v>
      </c>
      <c r="AG73">
        <v>0.32200000000000001</v>
      </c>
      <c r="AH73">
        <v>4.3799999999999999E-2</v>
      </c>
      <c r="AI73">
        <v>3.5017999999999998</v>
      </c>
    </row>
    <row r="74" spans="1:35">
      <c r="A74" t="s">
        <v>20</v>
      </c>
      <c r="B74">
        <v>27.8871112</v>
      </c>
      <c r="C74">
        <v>0.41037763399999999</v>
      </c>
      <c r="D74">
        <v>2.092938432</v>
      </c>
      <c r="E74">
        <v>1.4868419999999999E-3</v>
      </c>
      <c r="F74">
        <v>2.0706490820000001</v>
      </c>
      <c r="G74">
        <v>2.9854130000000001E-3</v>
      </c>
      <c r="H74">
        <v>-2.2289349999999999E-2</v>
      </c>
      <c r="I74">
        <v>1.506423E-3</v>
      </c>
      <c r="J74">
        <v>28.455186789999999</v>
      </c>
      <c r="K74">
        <v>27.897366640000001</v>
      </c>
      <c r="L74">
        <v>27.500203119999998</v>
      </c>
      <c r="M74">
        <v>27.705943680000001</v>
      </c>
      <c r="N74">
        <v>2.0908736929999998</v>
      </c>
      <c r="O74">
        <v>1.4121284789999999</v>
      </c>
      <c r="P74">
        <v>2.093626285</v>
      </c>
      <c r="Q74">
        <v>2.094315317</v>
      </c>
      <c r="R74">
        <v>2.0665725359999998</v>
      </c>
      <c r="S74">
        <v>1.3951615079999999</v>
      </c>
      <c r="T74">
        <v>2.0717358460000002</v>
      </c>
      <c r="U74">
        <v>2.0736388639999999</v>
      </c>
      <c r="V74">
        <v>-2.4301157E-2</v>
      </c>
      <c r="W74">
        <v>-1.6966971000000001E-2</v>
      </c>
      <c r="X74">
        <v>-2.1890439000000001E-2</v>
      </c>
      <c r="Y74">
        <v>-2.0676453000000001E-2</v>
      </c>
      <c r="Z74">
        <v>18</v>
      </c>
      <c r="AA74">
        <v>8</v>
      </c>
      <c r="AB74">
        <v>194</v>
      </c>
      <c r="AC74">
        <v>17</v>
      </c>
      <c r="AD74">
        <v>13</v>
      </c>
      <c r="AE74">
        <v>1.08</v>
      </c>
      <c r="AF74">
        <v>0.128</v>
      </c>
      <c r="AG74">
        <v>2.7160000000000002</v>
      </c>
      <c r="AH74">
        <v>1.4892000000000001E-2</v>
      </c>
      <c r="AI74">
        <v>3.9388920000000001</v>
      </c>
    </row>
    <row r="75" spans="1:35">
      <c r="A75" t="s">
        <v>20</v>
      </c>
      <c r="B75">
        <v>24.971971530000001</v>
      </c>
      <c r="C75">
        <v>0.116755044</v>
      </c>
      <c r="D75">
        <v>2.0816037980000002</v>
      </c>
      <c r="E75">
        <v>1.8542420000000001E-3</v>
      </c>
      <c r="F75">
        <v>2.0634146750000002</v>
      </c>
      <c r="G75">
        <v>2.0000220000000002E-3</v>
      </c>
      <c r="H75">
        <v>-1.8189123000000001E-2</v>
      </c>
      <c r="I75">
        <v>8.7145899999999999E-4</v>
      </c>
      <c r="J75">
        <v>24.79732357</v>
      </c>
      <c r="K75">
        <v>24.96164057</v>
      </c>
      <c r="L75">
        <v>25.00610979</v>
      </c>
      <c r="M75">
        <v>25.12281218</v>
      </c>
      <c r="N75">
        <v>2.0790053030000002</v>
      </c>
      <c r="O75">
        <v>2.0842412110000001</v>
      </c>
      <c r="P75">
        <v>2.0817326060000001</v>
      </c>
      <c r="Q75">
        <v>2.0814360700000001</v>
      </c>
      <c r="R75">
        <v>2.0608217579999999</v>
      </c>
      <c r="S75">
        <v>2.0660463330000001</v>
      </c>
      <c r="T75">
        <v>2.0623111550000002</v>
      </c>
      <c r="U75">
        <v>2.064479452</v>
      </c>
      <c r="V75">
        <v>-1.8183544999999999E-2</v>
      </c>
      <c r="W75">
        <v>-1.8194878000000001E-2</v>
      </c>
      <c r="X75">
        <v>-1.9421450999999999E-2</v>
      </c>
      <c r="Y75">
        <v>-1.6956618E-2</v>
      </c>
      <c r="Z75">
        <v>24</v>
      </c>
      <c r="AA75">
        <v>6</v>
      </c>
      <c r="AB75">
        <v>205</v>
      </c>
      <c r="AC75">
        <v>11</v>
      </c>
      <c r="AD75">
        <v>4</v>
      </c>
      <c r="AE75">
        <v>1.44</v>
      </c>
      <c r="AF75">
        <v>9.6000000000000002E-2</v>
      </c>
      <c r="AG75">
        <v>2.87</v>
      </c>
      <c r="AH75">
        <v>9.6360000000000005E-3</v>
      </c>
      <c r="AI75">
        <v>4.4156360000000001</v>
      </c>
    </row>
    <row r="76" spans="1:35">
      <c r="A76" t="s">
        <v>20</v>
      </c>
      <c r="B76">
        <v>55.740712270000003</v>
      </c>
      <c r="C76">
        <v>0.874795875</v>
      </c>
      <c r="D76">
        <v>2.1488707690000002</v>
      </c>
      <c r="E76">
        <v>1.932774E-3</v>
      </c>
      <c r="F76">
        <v>2.1091106590000002</v>
      </c>
      <c r="G76">
        <v>3.0424089999999998E-3</v>
      </c>
      <c r="H76">
        <v>-3.9760110000000001E-2</v>
      </c>
      <c r="I76">
        <v>1.122889E-3</v>
      </c>
      <c r="J76">
        <v>57.202948810000002</v>
      </c>
      <c r="K76">
        <v>54.908329000000002</v>
      </c>
      <c r="L76">
        <v>55.29985688</v>
      </c>
      <c r="M76">
        <v>55.551714369999999</v>
      </c>
      <c r="N76">
        <v>2.152164355</v>
      </c>
      <c r="O76">
        <v>2.148289058</v>
      </c>
      <c r="P76">
        <v>2.1473157999999999</v>
      </c>
      <c r="Q76">
        <v>2.147713864</v>
      </c>
      <c r="R76">
        <v>2.1143486579999999</v>
      </c>
      <c r="S76">
        <v>2.107873933</v>
      </c>
      <c r="T76">
        <v>2.1069460260000001</v>
      </c>
      <c r="U76">
        <v>2.1072740190000001</v>
      </c>
      <c r="V76">
        <v>-3.7815697000000002E-2</v>
      </c>
      <c r="W76">
        <v>-4.0415125000000003E-2</v>
      </c>
      <c r="X76">
        <v>-4.0369773999999997E-2</v>
      </c>
      <c r="Y76">
        <v>-4.0439845000000002E-2</v>
      </c>
      <c r="Z76">
        <v>16</v>
      </c>
      <c r="AA76">
        <v>58</v>
      </c>
      <c r="AB76">
        <v>28</v>
      </c>
      <c r="AC76">
        <v>138</v>
      </c>
      <c r="AD76">
        <v>10</v>
      </c>
      <c r="AE76">
        <v>0.96</v>
      </c>
      <c r="AF76">
        <v>0.92800000000000005</v>
      </c>
      <c r="AG76">
        <v>0.39200000000000002</v>
      </c>
      <c r="AH76">
        <v>0.120888</v>
      </c>
      <c r="AI76">
        <v>2.4008880000000001</v>
      </c>
    </row>
    <row r="77" spans="1:35">
      <c r="A77" t="s">
        <v>20</v>
      </c>
      <c r="B77">
        <v>55.692637840000003</v>
      </c>
      <c r="C77">
        <v>3.8237338670000001</v>
      </c>
      <c r="D77">
        <v>2.1407289230000002</v>
      </c>
      <c r="E77">
        <v>9.9609520000000003E-3</v>
      </c>
      <c r="F77">
        <v>2.1086679359999998</v>
      </c>
      <c r="G77">
        <v>8.9296440000000005E-3</v>
      </c>
      <c r="H77">
        <v>-3.2060986999999999E-2</v>
      </c>
      <c r="I77">
        <v>1.0172784000000001E-2</v>
      </c>
      <c r="J77">
        <v>58.814003630000002</v>
      </c>
      <c r="K77">
        <v>60.157024280000002</v>
      </c>
      <c r="L77">
        <v>51.761426</v>
      </c>
      <c r="M77">
        <v>52.038097440000001</v>
      </c>
      <c r="N77">
        <v>2.1574881879999999</v>
      </c>
      <c r="O77">
        <v>2.1312843560000001</v>
      </c>
      <c r="P77">
        <v>2.137240491</v>
      </c>
      <c r="Q77">
        <v>2.1369026550000001</v>
      </c>
      <c r="R77">
        <v>2.1183477079999999</v>
      </c>
      <c r="S77">
        <v>2.1167793499999998</v>
      </c>
      <c r="T77">
        <v>2.100546284</v>
      </c>
      <c r="U77">
        <v>2.0989984019999999</v>
      </c>
      <c r="V77">
        <v>-3.9140479999999998E-2</v>
      </c>
      <c r="W77">
        <v>-1.4505006000000001E-2</v>
      </c>
      <c r="X77">
        <v>-3.6694207E-2</v>
      </c>
      <c r="Y77">
        <v>-3.7904252999999999E-2</v>
      </c>
      <c r="Z77">
        <v>12</v>
      </c>
      <c r="AA77">
        <v>52</v>
      </c>
      <c r="AB77">
        <v>76</v>
      </c>
      <c r="AC77">
        <v>34</v>
      </c>
      <c r="AD77">
        <v>76</v>
      </c>
      <c r="AE77">
        <v>0.72</v>
      </c>
      <c r="AF77">
        <v>0.83199999999999996</v>
      </c>
      <c r="AG77">
        <v>1.0640000000000001</v>
      </c>
      <c r="AH77">
        <v>2.9784000000000001E-2</v>
      </c>
      <c r="AI77">
        <v>2.6457839999999999</v>
      </c>
    </row>
    <row r="78" spans="1:35">
      <c r="A78" t="s">
        <v>20</v>
      </c>
      <c r="B78">
        <v>54.96656308</v>
      </c>
      <c r="C78">
        <v>1.3933934379999999</v>
      </c>
      <c r="D78">
        <v>2.1390789469999998</v>
      </c>
      <c r="E78">
        <v>1.2621504E-2</v>
      </c>
      <c r="F78">
        <v>2.1190163649999998</v>
      </c>
      <c r="G78">
        <v>5.0514779999999999E-3</v>
      </c>
      <c r="H78">
        <v>-2.0062581999999999E-2</v>
      </c>
      <c r="I78">
        <v>7.8164879999999999E-3</v>
      </c>
      <c r="J78">
        <v>57.191962259999997</v>
      </c>
      <c r="K78">
        <v>53.506854910000001</v>
      </c>
      <c r="L78">
        <v>54.142191650000001</v>
      </c>
      <c r="M78">
        <v>55.025243490000001</v>
      </c>
      <c r="N78">
        <v>2.159394303</v>
      </c>
      <c r="O78">
        <v>2.1395557429999998</v>
      </c>
      <c r="P78">
        <v>2.130696779</v>
      </c>
      <c r="Q78">
        <v>2.1266689620000001</v>
      </c>
      <c r="R78">
        <v>2.127591588</v>
      </c>
      <c r="S78">
        <v>2.1177154200000001</v>
      </c>
      <c r="T78">
        <v>2.1149403379999998</v>
      </c>
      <c r="U78">
        <v>2.115818113</v>
      </c>
      <c r="V78">
        <v>-3.1802715000000002E-2</v>
      </c>
      <c r="W78">
        <v>-2.1840322999999998E-2</v>
      </c>
      <c r="X78">
        <v>-1.5756441E-2</v>
      </c>
      <c r="Y78">
        <v>-1.0850848999999999E-2</v>
      </c>
      <c r="Z78">
        <v>21</v>
      </c>
      <c r="AA78">
        <v>34</v>
      </c>
      <c r="AB78">
        <v>90</v>
      </c>
      <c r="AC78">
        <v>26</v>
      </c>
      <c r="AD78">
        <v>79</v>
      </c>
      <c r="AE78">
        <v>1.26</v>
      </c>
      <c r="AF78">
        <v>0.54400000000000004</v>
      </c>
      <c r="AG78">
        <v>1.26</v>
      </c>
      <c r="AH78">
        <v>2.2776000000000001E-2</v>
      </c>
      <c r="AI78">
        <v>3.086776</v>
      </c>
    </row>
    <row r="79" spans="1:35">
      <c r="A79" t="s">
        <v>20</v>
      </c>
      <c r="B79">
        <v>62.858167399999999</v>
      </c>
      <c r="C79">
        <v>0.23806514600000001</v>
      </c>
      <c r="D79">
        <v>2.138479968</v>
      </c>
      <c r="E79">
        <v>5.9041699999999998E-4</v>
      </c>
      <c r="F79">
        <v>2.110405176</v>
      </c>
      <c r="G79">
        <v>5.7546799999999999E-4</v>
      </c>
      <c r="H79">
        <v>-2.8074792000000001E-2</v>
      </c>
      <c r="I79">
        <v>8.7190800000000001E-4</v>
      </c>
      <c r="J79">
        <v>63.117109569999997</v>
      </c>
      <c r="K79">
        <v>63.038013970000002</v>
      </c>
      <c r="L79">
        <v>62.763345190000003</v>
      </c>
      <c r="M79">
        <v>62.514200879999997</v>
      </c>
      <c r="N79">
        <v>2.1380577270000001</v>
      </c>
      <c r="O79">
        <v>2.138732471</v>
      </c>
      <c r="P79">
        <v>2.1393191300000001</v>
      </c>
      <c r="Q79">
        <v>2.1378105430000001</v>
      </c>
      <c r="R79">
        <v>2.1112057559999999</v>
      </c>
      <c r="S79">
        <v>2.1106769000000001</v>
      </c>
      <c r="T79">
        <v>2.110001263</v>
      </c>
      <c r="U79">
        <v>2.1097367849999999</v>
      </c>
      <c r="V79">
        <v>-2.6851970999999999E-2</v>
      </c>
      <c r="W79">
        <v>-2.8055571000000001E-2</v>
      </c>
      <c r="X79">
        <v>-2.9317867000000001E-2</v>
      </c>
      <c r="Y79">
        <v>-2.8073758000000001E-2</v>
      </c>
      <c r="Z79">
        <v>65</v>
      </c>
      <c r="AA79">
        <v>10</v>
      </c>
      <c r="AB79">
        <v>17</v>
      </c>
      <c r="AC79">
        <v>11</v>
      </c>
      <c r="AD79">
        <v>147</v>
      </c>
      <c r="AE79">
        <v>3.9</v>
      </c>
      <c r="AF79">
        <v>0.16</v>
      </c>
      <c r="AG79">
        <v>0.23799999999999999</v>
      </c>
      <c r="AH79">
        <v>9.6360000000000005E-3</v>
      </c>
      <c r="AI79">
        <v>4.3076359999999996</v>
      </c>
    </row>
    <row r="80" spans="1:35">
      <c r="A80" t="s">
        <v>20</v>
      </c>
      <c r="B80">
        <v>51.534199000000001</v>
      </c>
      <c r="C80">
        <v>0.68338513000000001</v>
      </c>
      <c r="D80">
        <v>2.651560473</v>
      </c>
      <c r="E80">
        <v>1.3261465E-2</v>
      </c>
      <c r="F80">
        <v>2.5643529580000002</v>
      </c>
      <c r="G80">
        <v>1.3638460999999999E-2</v>
      </c>
      <c r="H80">
        <v>-8.7207514999999999E-2</v>
      </c>
      <c r="I80">
        <v>1.6121200000000001E-3</v>
      </c>
      <c r="J80">
        <v>50.900210569999999</v>
      </c>
      <c r="K80">
        <v>52.317719740000001</v>
      </c>
      <c r="L80">
        <v>52.107906010000001</v>
      </c>
      <c r="M80">
        <v>50.810959670000003</v>
      </c>
      <c r="N80">
        <v>2.6349601749999998</v>
      </c>
      <c r="O80">
        <v>2.6706249629999999</v>
      </c>
      <c r="P80">
        <v>2.655869364</v>
      </c>
      <c r="Q80">
        <v>2.6447873899999998</v>
      </c>
      <c r="R80">
        <v>2.5455644780000002</v>
      </c>
      <c r="S80">
        <v>2.5825115799999998</v>
      </c>
      <c r="T80">
        <v>2.5701946229999999</v>
      </c>
      <c r="U80">
        <v>2.559141152</v>
      </c>
      <c r="V80">
        <v>-8.9395696999999996E-2</v>
      </c>
      <c r="W80">
        <v>-8.8113383000000003E-2</v>
      </c>
      <c r="X80">
        <v>-8.5674740999999999E-2</v>
      </c>
      <c r="Y80">
        <v>-8.5646238E-2</v>
      </c>
      <c r="Z80">
        <v>0</v>
      </c>
      <c r="AA80">
        <v>58</v>
      </c>
      <c r="AB80">
        <v>94</v>
      </c>
      <c r="AC80">
        <v>56</v>
      </c>
      <c r="AD80">
        <v>42</v>
      </c>
      <c r="AE80">
        <v>0</v>
      </c>
      <c r="AF80">
        <v>0.92800000000000005</v>
      </c>
      <c r="AG80">
        <v>1.3160000000000001</v>
      </c>
      <c r="AH80">
        <v>4.9056000000000002E-2</v>
      </c>
      <c r="AI80">
        <v>2.293056</v>
      </c>
    </row>
    <row r="81" spans="1:35">
      <c r="A81" t="s">
        <v>20</v>
      </c>
      <c r="B81">
        <v>43.509277429999997</v>
      </c>
      <c r="C81">
        <v>1.297181514</v>
      </c>
      <c r="D81">
        <v>2.6638529659999999</v>
      </c>
      <c r="E81">
        <v>8.8402440000000006E-3</v>
      </c>
      <c r="F81">
        <v>2.5520433300000001</v>
      </c>
      <c r="G81">
        <v>7.3713870000000001E-3</v>
      </c>
      <c r="H81">
        <v>-0.111809636</v>
      </c>
      <c r="I81">
        <v>4.887588E-3</v>
      </c>
      <c r="J81">
        <v>41.284126829999998</v>
      </c>
      <c r="K81">
        <v>44.39503852</v>
      </c>
      <c r="L81">
        <v>44.400184170000003</v>
      </c>
      <c r="M81">
        <v>43.957760210000004</v>
      </c>
      <c r="N81">
        <v>2.6750615930000001</v>
      </c>
      <c r="O81">
        <v>2.6551929580000002</v>
      </c>
      <c r="P81">
        <v>2.6552056350000002</v>
      </c>
      <c r="Q81">
        <v>2.6699516769999998</v>
      </c>
      <c r="R81">
        <v>2.5641760339999999</v>
      </c>
      <c r="S81">
        <v>2.5443119940000001</v>
      </c>
      <c r="T81">
        <v>2.5492564259999999</v>
      </c>
      <c r="U81">
        <v>2.5504288640000001</v>
      </c>
      <c r="V81">
        <v>-0.11088555899999999</v>
      </c>
      <c r="W81">
        <v>-0.110880964</v>
      </c>
      <c r="X81">
        <v>-0.105949209</v>
      </c>
      <c r="Y81">
        <v>-0.11952281300000001</v>
      </c>
      <c r="Z81">
        <v>0</v>
      </c>
      <c r="AA81">
        <v>28</v>
      </c>
      <c r="AB81">
        <v>93</v>
      </c>
      <c r="AC81">
        <v>79</v>
      </c>
      <c r="AD81">
        <v>50</v>
      </c>
      <c r="AE81">
        <v>0</v>
      </c>
      <c r="AF81">
        <v>0.44800000000000001</v>
      </c>
      <c r="AG81">
        <v>1.302</v>
      </c>
      <c r="AH81">
        <v>6.9204000000000002E-2</v>
      </c>
      <c r="AI81">
        <v>1.819204</v>
      </c>
    </row>
    <row r="82" spans="1:35">
      <c r="A82" t="s">
        <v>20</v>
      </c>
      <c r="B82">
        <v>21.700750679999999</v>
      </c>
      <c r="C82">
        <v>7.4456824890000002</v>
      </c>
      <c r="D82">
        <v>2.6869682309999998</v>
      </c>
      <c r="E82">
        <v>2.2221167E-2</v>
      </c>
      <c r="F82">
        <v>2.5490031160000002</v>
      </c>
      <c r="G82">
        <v>2.0150398999999999E-2</v>
      </c>
      <c r="H82">
        <v>-0.137965114</v>
      </c>
      <c r="I82">
        <v>2.6556539999999999E-3</v>
      </c>
      <c r="J82">
        <v>32.0192403</v>
      </c>
      <c r="K82">
        <v>36.506368109999997</v>
      </c>
      <c r="L82">
        <v>14.72385339</v>
      </c>
      <c r="M82">
        <v>18.35915834</v>
      </c>
      <c r="N82">
        <v>2.7129930959999999</v>
      </c>
      <c r="O82">
        <v>2.6882559760000002</v>
      </c>
      <c r="P82">
        <v>2.6892103110000001</v>
      </c>
      <c r="Q82">
        <v>2.6587012849999998</v>
      </c>
      <c r="R82">
        <v>2.5737839839999999</v>
      </c>
      <c r="S82">
        <v>2.5551909259999999</v>
      </c>
      <c r="T82">
        <v>2.5487983029999999</v>
      </c>
      <c r="U82">
        <v>2.524427062</v>
      </c>
      <c r="V82">
        <v>-0.139209112</v>
      </c>
      <c r="W82">
        <v>-0.13306504999999999</v>
      </c>
      <c r="X82">
        <v>-0.140412008</v>
      </c>
      <c r="Y82">
        <v>-0.134274223</v>
      </c>
      <c r="Z82">
        <v>0</v>
      </c>
      <c r="AA82">
        <v>34</v>
      </c>
      <c r="AB82">
        <v>0</v>
      </c>
      <c r="AC82">
        <v>44</v>
      </c>
      <c r="AD82">
        <v>172</v>
      </c>
      <c r="AE82">
        <v>0</v>
      </c>
      <c r="AF82">
        <v>0.54400000000000004</v>
      </c>
      <c r="AG82">
        <v>0</v>
      </c>
      <c r="AH82">
        <v>3.8544000000000002E-2</v>
      </c>
      <c r="AI82">
        <v>0.58254399999999995</v>
      </c>
    </row>
    <row r="83" spans="1:35">
      <c r="A83" t="s">
        <v>20</v>
      </c>
      <c r="B83">
        <v>53.117280540000003</v>
      </c>
      <c r="C83">
        <v>1.9483150380000001</v>
      </c>
      <c r="D83">
        <v>2.122347853</v>
      </c>
      <c r="E83">
        <v>5.0270399999999998E-4</v>
      </c>
      <c r="F83">
        <v>2.090493151</v>
      </c>
      <c r="G83">
        <v>5.4037900000000001E-4</v>
      </c>
      <c r="H83">
        <v>-3.1854701999999999E-2</v>
      </c>
      <c r="I83">
        <v>1.5396E-4</v>
      </c>
      <c r="J83">
        <v>50.369717819999998</v>
      </c>
      <c r="K83">
        <v>55.735214910000003</v>
      </c>
      <c r="L83">
        <v>54.670147229999998</v>
      </c>
      <c r="M83">
        <v>54.311976569999999</v>
      </c>
      <c r="N83">
        <v>2.1218266269999999</v>
      </c>
      <c r="O83">
        <v>1.5037820820000001</v>
      </c>
      <c r="P83">
        <v>2.1230271649999999</v>
      </c>
      <c r="Q83">
        <v>2.1221897670000001</v>
      </c>
      <c r="R83">
        <v>2.0901031589999999</v>
      </c>
      <c r="S83">
        <v>1.4720022859999999</v>
      </c>
      <c r="T83">
        <v>2.0912573079999999</v>
      </c>
      <c r="U83">
        <v>2.0901189859999998</v>
      </c>
      <c r="V83">
        <v>-3.1723467999999998E-2</v>
      </c>
      <c r="W83">
        <v>-3.1779795999999999E-2</v>
      </c>
      <c r="X83">
        <v>-3.1769856999999999E-2</v>
      </c>
      <c r="Y83">
        <v>-3.2070781E-2</v>
      </c>
      <c r="Z83">
        <v>10</v>
      </c>
      <c r="AA83">
        <v>63</v>
      </c>
      <c r="AB83">
        <v>90</v>
      </c>
      <c r="AC83">
        <v>86</v>
      </c>
      <c r="AD83">
        <v>1</v>
      </c>
      <c r="AE83">
        <v>0.6</v>
      </c>
      <c r="AF83">
        <v>1.008</v>
      </c>
      <c r="AG83">
        <v>1.26</v>
      </c>
      <c r="AH83">
        <v>7.5336E-2</v>
      </c>
      <c r="AI83">
        <v>2.943336</v>
      </c>
    </row>
    <row r="84" spans="1:35">
      <c r="A84" t="s">
        <v>20</v>
      </c>
      <c r="B84">
        <v>29.90310723</v>
      </c>
      <c r="C84">
        <v>0.675405543</v>
      </c>
      <c r="D84">
        <v>2.6729604280000001</v>
      </c>
      <c r="E84">
        <v>1.9477062E-2</v>
      </c>
      <c r="F84">
        <v>2.6400411620000002</v>
      </c>
      <c r="G84">
        <v>1.7058410999999999E-2</v>
      </c>
      <c r="H84">
        <v>-3.2919266000000003E-2</v>
      </c>
      <c r="I84">
        <v>5.4352660000000002E-3</v>
      </c>
      <c r="J84">
        <v>29.589271889999999</v>
      </c>
      <c r="K84">
        <v>30.758518129999999</v>
      </c>
      <c r="L84">
        <v>30.28340244</v>
      </c>
      <c r="M84">
        <v>28.981236460000002</v>
      </c>
      <c r="N84">
        <v>2.7059136800000001</v>
      </c>
      <c r="O84">
        <v>2.6666004069999998</v>
      </c>
      <c r="P84">
        <v>2.6639914610000002</v>
      </c>
      <c r="Q84">
        <v>2.655336165</v>
      </c>
      <c r="R84">
        <v>2.6668417180000001</v>
      </c>
      <c r="S84">
        <v>2.6422887359999998</v>
      </c>
      <c r="T84">
        <v>2.6285780870000002</v>
      </c>
      <c r="U84">
        <v>2.6224561080000002</v>
      </c>
      <c r="V84">
        <v>-3.9071962000000002E-2</v>
      </c>
      <c r="W84">
        <v>-2.4311671E-2</v>
      </c>
      <c r="X84">
        <v>-3.5413373999999997E-2</v>
      </c>
      <c r="Y84">
        <v>-3.2880056999999997E-2</v>
      </c>
      <c r="Z84">
        <v>0</v>
      </c>
      <c r="AA84">
        <v>8</v>
      </c>
      <c r="AB84">
        <v>231</v>
      </c>
      <c r="AC84">
        <v>6</v>
      </c>
      <c r="AD84">
        <v>5</v>
      </c>
      <c r="AE84">
        <v>0</v>
      </c>
      <c r="AF84">
        <v>0.128</v>
      </c>
      <c r="AG84">
        <v>3.234</v>
      </c>
      <c r="AH84">
        <v>5.2560000000000003E-3</v>
      </c>
      <c r="AI84">
        <v>3.3672559999999998</v>
      </c>
    </row>
    <row r="85" spans="1:35">
      <c r="A85" t="s">
        <v>20</v>
      </c>
      <c r="B85">
        <v>58.571807479999997</v>
      </c>
      <c r="C85">
        <v>1.277401609</v>
      </c>
      <c r="D85">
        <v>2.1049868900000002</v>
      </c>
      <c r="E85">
        <v>1.586741E-3</v>
      </c>
      <c r="F85">
        <v>2.0848279129999998</v>
      </c>
      <c r="G85">
        <v>3.9772199999999998E-4</v>
      </c>
      <c r="H85">
        <v>-2.0158977000000002E-2</v>
      </c>
      <c r="I85">
        <v>1.874597E-3</v>
      </c>
      <c r="J85">
        <v>59.77305191</v>
      </c>
      <c r="K85">
        <v>56.922525880000002</v>
      </c>
      <c r="L85">
        <v>57.73198094</v>
      </c>
      <c r="M85">
        <v>59.859671169999999</v>
      </c>
      <c r="N85">
        <v>2.1023450279999998</v>
      </c>
      <c r="O85">
        <v>2.1063358710000002</v>
      </c>
      <c r="P85">
        <v>2.1051664059999999</v>
      </c>
      <c r="Q85">
        <v>2.1061002549999999</v>
      </c>
      <c r="R85">
        <v>2.0853447310000002</v>
      </c>
      <c r="S85">
        <v>2.0844360040000001</v>
      </c>
      <c r="T85">
        <v>2.0844458989999999</v>
      </c>
      <c r="U85">
        <v>2.0850850169999999</v>
      </c>
      <c r="V85">
        <v>-1.7000297000000001E-2</v>
      </c>
      <c r="W85">
        <v>-2.1899867E-2</v>
      </c>
      <c r="X85">
        <v>-2.0720506999999999E-2</v>
      </c>
      <c r="Y85">
        <v>-2.1015237999999999E-2</v>
      </c>
      <c r="Z85">
        <v>78</v>
      </c>
      <c r="AA85">
        <v>22</v>
      </c>
      <c r="AB85">
        <v>38</v>
      </c>
      <c r="AC85">
        <v>43</v>
      </c>
      <c r="AD85">
        <v>69</v>
      </c>
      <c r="AE85">
        <v>4.68</v>
      </c>
      <c r="AF85">
        <v>0.35199999999999998</v>
      </c>
      <c r="AG85">
        <v>0.53200000000000003</v>
      </c>
      <c r="AH85">
        <v>3.7668E-2</v>
      </c>
      <c r="AI85">
        <v>5.6016680000000001</v>
      </c>
    </row>
    <row r="86" spans="1:35">
      <c r="A86" t="s">
        <v>20</v>
      </c>
      <c r="B86">
        <v>30.098788280000001</v>
      </c>
      <c r="C86">
        <v>0.60318339899999995</v>
      </c>
      <c r="D86">
        <v>2.0327100439999999</v>
      </c>
      <c r="E86">
        <v>2.9185869999999998E-3</v>
      </c>
      <c r="F86">
        <v>2.0426035580000002</v>
      </c>
      <c r="G86">
        <v>2.9241950000000001E-3</v>
      </c>
      <c r="H86">
        <v>9.8935140000000008E-3</v>
      </c>
      <c r="I86" s="5" t="s">
        <v>88</v>
      </c>
      <c r="J86">
        <v>30.40697655</v>
      </c>
      <c r="K86">
        <v>30.648023510000002</v>
      </c>
      <c r="L86">
        <v>30.257908969999999</v>
      </c>
      <c r="M86">
        <v>29.082244079999999</v>
      </c>
      <c r="N86">
        <v>2.0280706460000002</v>
      </c>
      <c r="O86">
        <v>2.0323992689999999</v>
      </c>
      <c r="P86">
        <v>2.035501279</v>
      </c>
      <c r="Q86">
        <v>2.0348689809999998</v>
      </c>
      <c r="R86">
        <v>2.0379590190000001</v>
      </c>
      <c r="S86">
        <v>2.042281982</v>
      </c>
      <c r="T86">
        <v>2.0454007609999998</v>
      </c>
      <c r="U86">
        <v>2.0447724690000002</v>
      </c>
      <c r="V86">
        <v>9.8883730000000006E-3</v>
      </c>
      <c r="W86">
        <v>9.8827129999999996E-3</v>
      </c>
      <c r="X86">
        <v>9.8994819999999994E-3</v>
      </c>
      <c r="Y86">
        <v>9.9034880000000002E-3</v>
      </c>
      <c r="Z86">
        <v>145</v>
      </c>
      <c r="AA86">
        <v>10</v>
      </c>
      <c r="AB86">
        <v>45</v>
      </c>
      <c r="AC86">
        <v>49</v>
      </c>
      <c r="AD86">
        <v>1</v>
      </c>
      <c r="AE86">
        <v>8.6999999999999993</v>
      </c>
      <c r="AF86">
        <v>0.16</v>
      </c>
      <c r="AG86">
        <v>0.63</v>
      </c>
      <c r="AH86">
        <v>4.2923999999999997E-2</v>
      </c>
      <c r="AI86">
        <v>9.5329239999999995</v>
      </c>
    </row>
    <row r="87" spans="1:35">
      <c r="A87" t="s">
        <v>20</v>
      </c>
      <c r="B87">
        <v>55.185461629999999</v>
      </c>
      <c r="C87">
        <v>0.56350324299999999</v>
      </c>
      <c r="D87">
        <v>2.078073705</v>
      </c>
      <c r="E87">
        <v>1.0935199E-2</v>
      </c>
      <c r="F87">
        <v>2.0689916620000002</v>
      </c>
      <c r="G87">
        <v>1.0793720000000001E-3</v>
      </c>
      <c r="H87">
        <v>-9.0820429999999997E-3</v>
      </c>
      <c r="I87">
        <v>1.0949700999999999E-2</v>
      </c>
      <c r="J87">
        <v>54.436883440000003</v>
      </c>
      <c r="K87">
        <v>54.85223517</v>
      </c>
      <c r="L87">
        <v>55.643950969999999</v>
      </c>
      <c r="M87">
        <v>55.808776930000001</v>
      </c>
      <c r="N87">
        <v>2.0592102639999998</v>
      </c>
      <c r="O87">
        <v>2.0842460319999998</v>
      </c>
      <c r="P87">
        <v>2.0830309040000001</v>
      </c>
      <c r="Q87">
        <v>2.0858076200000002</v>
      </c>
      <c r="R87">
        <v>2.0690720819999999</v>
      </c>
      <c r="S87">
        <v>2.0697020699999999</v>
      </c>
      <c r="T87">
        <v>2.06721127</v>
      </c>
      <c r="U87">
        <v>2.0699812259999999</v>
      </c>
      <c r="V87">
        <v>9.8618179999999996E-3</v>
      </c>
      <c r="W87">
        <v>-1.4543962000000001E-2</v>
      </c>
      <c r="X87">
        <v>-1.5819633999999999E-2</v>
      </c>
      <c r="Y87">
        <v>-1.5826394000000001E-2</v>
      </c>
      <c r="Z87">
        <v>72</v>
      </c>
      <c r="AA87">
        <v>60</v>
      </c>
      <c r="AB87">
        <v>55</v>
      </c>
      <c r="AC87">
        <v>19</v>
      </c>
      <c r="AD87">
        <v>44</v>
      </c>
      <c r="AE87">
        <v>4.32</v>
      </c>
      <c r="AF87">
        <v>0.96</v>
      </c>
      <c r="AG87">
        <v>0.77</v>
      </c>
      <c r="AH87">
        <v>1.6643999999999999E-2</v>
      </c>
      <c r="AI87">
        <v>6.0666440000000001</v>
      </c>
    </row>
    <row r="88" spans="1:35">
      <c r="A88" t="s">
        <v>20</v>
      </c>
      <c r="B88">
        <v>30.860799910000001</v>
      </c>
      <c r="C88">
        <v>0.95986460699999998</v>
      </c>
      <c r="D88">
        <v>2.0229597319999999</v>
      </c>
      <c r="E88">
        <v>2.8038249999999998E-3</v>
      </c>
      <c r="F88">
        <v>2.033156999</v>
      </c>
      <c r="G88">
        <v>3.092872E-3</v>
      </c>
      <c r="H88">
        <v>1.0197266999999999E-2</v>
      </c>
      <c r="I88">
        <v>5.5219299999999998E-4</v>
      </c>
      <c r="J88">
        <v>29.199132890000001</v>
      </c>
      <c r="K88">
        <v>31.365966319999998</v>
      </c>
      <c r="L88">
        <v>31.427154259999998</v>
      </c>
      <c r="M88">
        <v>31.450946179999999</v>
      </c>
      <c r="N88">
        <v>2.0185220739999998</v>
      </c>
      <c r="O88">
        <v>2.0225792679999999</v>
      </c>
      <c r="P88">
        <v>2.025391553</v>
      </c>
      <c r="Q88">
        <v>2.0253460329999999</v>
      </c>
      <c r="R88">
        <v>2.028451703</v>
      </c>
      <c r="S88">
        <v>2.0324195540000001</v>
      </c>
      <c r="T88">
        <v>2.0352586600000002</v>
      </c>
      <c r="U88">
        <v>2.0364980770000001</v>
      </c>
      <c r="V88">
        <v>9.9296290000000006E-3</v>
      </c>
      <c r="W88">
        <v>9.8402860000000002E-3</v>
      </c>
      <c r="X88">
        <v>9.867107E-3</v>
      </c>
      <c r="Y88">
        <v>1.1152044E-2</v>
      </c>
      <c r="Z88">
        <v>181</v>
      </c>
      <c r="AA88">
        <v>55</v>
      </c>
      <c r="AB88">
        <v>6</v>
      </c>
      <c r="AC88">
        <v>0</v>
      </c>
      <c r="AD88">
        <v>8</v>
      </c>
      <c r="AE88">
        <v>10.86</v>
      </c>
      <c r="AF88">
        <v>0.88</v>
      </c>
      <c r="AG88">
        <v>8.4000000000000005E-2</v>
      </c>
      <c r="AH88">
        <v>0</v>
      </c>
      <c r="AI88">
        <v>11.824</v>
      </c>
    </row>
    <row r="89" spans="1:35">
      <c r="A89" t="s">
        <v>20</v>
      </c>
      <c r="B89">
        <v>37.36081721</v>
      </c>
      <c r="C89">
        <v>0.32060851400000001</v>
      </c>
      <c r="D89">
        <v>2.6320126359999998</v>
      </c>
      <c r="E89">
        <v>8.1258389999999993E-3</v>
      </c>
      <c r="F89">
        <v>2.5421029339999999</v>
      </c>
      <c r="G89">
        <v>8.4765159999999999E-3</v>
      </c>
      <c r="H89">
        <v>-8.9909701999999994E-2</v>
      </c>
      <c r="I89">
        <v>5.4695700000000004E-4</v>
      </c>
      <c r="J89">
        <v>36.938801650000002</v>
      </c>
      <c r="K89">
        <v>37.817834390000002</v>
      </c>
      <c r="L89">
        <v>37.451909409999999</v>
      </c>
      <c r="M89">
        <v>37.234723389999999</v>
      </c>
      <c r="N89">
        <v>2.6435254499999998</v>
      </c>
      <c r="O89">
        <v>2.6286989969999999</v>
      </c>
      <c r="P89">
        <v>2.6345076949999999</v>
      </c>
      <c r="Q89">
        <v>2.6213184030000001</v>
      </c>
      <c r="R89">
        <v>2.554145836</v>
      </c>
      <c r="S89">
        <v>2.539323703</v>
      </c>
      <c r="T89">
        <v>2.5442439069999998</v>
      </c>
      <c r="U89">
        <v>2.5306982900000001</v>
      </c>
      <c r="V89">
        <v>-8.9379613999999996E-2</v>
      </c>
      <c r="W89">
        <v>-8.9375293999999994E-2</v>
      </c>
      <c r="X89">
        <v>-9.0263787999999998E-2</v>
      </c>
      <c r="Y89">
        <v>-9.0620113000000002E-2</v>
      </c>
      <c r="Z89">
        <v>0</v>
      </c>
      <c r="AA89">
        <v>36</v>
      </c>
      <c r="AB89">
        <v>10</v>
      </c>
      <c r="AC89">
        <v>168</v>
      </c>
      <c r="AD89">
        <v>36</v>
      </c>
      <c r="AE89">
        <v>0</v>
      </c>
      <c r="AF89">
        <v>0.57599999999999996</v>
      </c>
      <c r="AG89">
        <v>0.14000000000000001</v>
      </c>
      <c r="AH89">
        <v>0.14716799999999999</v>
      </c>
      <c r="AI89">
        <v>0.86316800000000005</v>
      </c>
    </row>
    <row r="90" spans="1:35">
      <c r="A90" t="s">
        <v>20</v>
      </c>
      <c r="B90">
        <v>91.297823769999994</v>
      </c>
      <c r="C90">
        <v>0.50218544300000001</v>
      </c>
      <c r="D90">
        <v>2.0975581779999999</v>
      </c>
      <c r="E90">
        <v>2.232496E-3</v>
      </c>
      <c r="F90">
        <v>2.0740310580000001</v>
      </c>
      <c r="G90">
        <v>1.6883550000000001E-3</v>
      </c>
      <c r="H90">
        <v>-2.3527119999999999E-2</v>
      </c>
      <c r="I90">
        <v>5.8531200000000005E-4</v>
      </c>
      <c r="J90">
        <v>89.105828919999993</v>
      </c>
      <c r="K90">
        <v>90.738817310000002</v>
      </c>
      <c r="L90">
        <v>91.197960210000005</v>
      </c>
      <c r="M90">
        <v>91.956693790000003</v>
      </c>
      <c r="N90">
        <v>1.564074054</v>
      </c>
      <c r="O90">
        <v>2.095237016</v>
      </c>
      <c r="P90">
        <v>2.0968653279999998</v>
      </c>
      <c r="Q90">
        <v>2.1005721909999999</v>
      </c>
      <c r="R90">
        <v>1.5739439150000001</v>
      </c>
      <c r="S90">
        <v>2.07210698</v>
      </c>
      <c r="T90">
        <v>2.0737686559999999</v>
      </c>
      <c r="U90">
        <v>2.0762175379999999</v>
      </c>
      <c r="V90">
        <v>9.8698610000000006E-3</v>
      </c>
      <c r="W90">
        <v>-2.3130036E-2</v>
      </c>
      <c r="X90">
        <v>-2.3096671999999999E-2</v>
      </c>
      <c r="Y90">
        <v>-2.4354653E-2</v>
      </c>
      <c r="Z90">
        <v>5</v>
      </c>
      <c r="AA90">
        <v>196</v>
      </c>
      <c r="AB90">
        <v>19</v>
      </c>
      <c r="AC90">
        <v>21</v>
      </c>
      <c r="AD90">
        <v>9</v>
      </c>
      <c r="AE90">
        <v>0.3</v>
      </c>
      <c r="AF90">
        <v>3.1360000000000001</v>
      </c>
      <c r="AG90">
        <v>0.26600000000000001</v>
      </c>
      <c r="AH90">
        <v>1.8395999999999999E-2</v>
      </c>
      <c r="AI90">
        <v>3.720396</v>
      </c>
    </row>
    <row r="91" spans="1:35">
      <c r="A91" t="s">
        <v>20</v>
      </c>
      <c r="B91">
        <v>23.119418750000001</v>
      </c>
      <c r="C91">
        <v>0.19686951499999999</v>
      </c>
      <c r="D91">
        <v>2.6578332320000002</v>
      </c>
      <c r="E91">
        <v>6.3810200000000003E-3</v>
      </c>
      <c r="F91">
        <v>2.5676313140000002</v>
      </c>
      <c r="G91">
        <v>5.9543310000000002E-3</v>
      </c>
      <c r="H91">
        <v>-9.0201918000000006E-2</v>
      </c>
      <c r="I91">
        <v>5.50735E-4</v>
      </c>
      <c r="J91">
        <v>23.45134711</v>
      </c>
      <c r="K91">
        <v>23.059535480000001</v>
      </c>
      <c r="L91">
        <v>23.029568229999999</v>
      </c>
      <c r="M91">
        <v>22.93722417</v>
      </c>
      <c r="N91">
        <v>2.6638325209999998</v>
      </c>
      <c r="O91">
        <v>2.6640965749999999</v>
      </c>
      <c r="P91">
        <v>2.6541981799999999</v>
      </c>
      <c r="Q91">
        <v>2.649205652</v>
      </c>
      <c r="R91">
        <v>2.5733192539999998</v>
      </c>
      <c r="S91">
        <v>2.5735538980000001</v>
      </c>
      <c r="T91">
        <v>2.5636947960000001</v>
      </c>
      <c r="U91">
        <v>2.5599573069999999</v>
      </c>
      <c r="V91">
        <v>-9.0513266999999994E-2</v>
      </c>
      <c r="W91">
        <v>-9.0542677000000002E-2</v>
      </c>
      <c r="X91">
        <v>-9.0503384000000006E-2</v>
      </c>
      <c r="Y91">
        <v>-8.9248345000000007E-2</v>
      </c>
      <c r="Z91">
        <v>0</v>
      </c>
      <c r="AA91">
        <v>0</v>
      </c>
      <c r="AB91">
        <v>57</v>
      </c>
      <c r="AC91">
        <v>112</v>
      </c>
      <c r="AD91">
        <v>81</v>
      </c>
      <c r="AE91">
        <v>0</v>
      </c>
      <c r="AF91">
        <v>0</v>
      </c>
      <c r="AG91">
        <v>0.79800000000000004</v>
      </c>
      <c r="AH91">
        <v>9.8112000000000005E-2</v>
      </c>
      <c r="AI91">
        <v>0.89611200000000002</v>
      </c>
    </row>
    <row r="92" spans="1:35">
      <c r="A92" t="s">
        <v>20</v>
      </c>
      <c r="B92">
        <v>49.832488060000003</v>
      </c>
      <c r="C92">
        <v>0.71977907900000004</v>
      </c>
      <c r="D92">
        <v>2.1421070339999999</v>
      </c>
      <c r="E92">
        <v>1.196426E-3</v>
      </c>
      <c r="F92">
        <v>2.102313256</v>
      </c>
      <c r="G92">
        <v>1.5139369999999999E-3</v>
      </c>
      <c r="H92">
        <v>-3.9793778000000002E-2</v>
      </c>
      <c r="I92">
        <v>6.57411E-4</v>
      </c>
      <c r="J92">
        <v>50.978844860000002</v>
      </c>
      <c r="K92">
        <v>49.86629697</v>
      </c>
      <c r="L92">
        <v>49.068257000000003</v>
      </c>
      <c r="M92">
        <v>49.41655342</v>
      </c>
      <c r="N92">
        <v>2.1433074489999999</v>
      </c>
      <c r="O92">
        <v>2.1415689740000001</v>
      </c>
      <c r="P92">
        <v>2.1404018339999999</v>
      </c>
      <c r="Q92">
        <v>2.1431498800000002</v>
      </c>
      <c r="R92">
        <v>2.1041721739999999</v>
      </c>
      <c r="S92">
        <v>2.102431487</v>
      </c>
      <c r="T92">
        <v>2.0999564880000001</v>
      </c>
      <c r="U92">
        <v>2.1026928749999998</v>
      </c>
      <c r="V92">
        <v>-3.9135274999999997E-2</v>
      </c>
      <c r="W92">
        <v>-3.9137486999999999E-2</v>
      </c>
      <c r="X92">
        <v>-4.0445346E-2</v>
      </c>
      <c r="Y92">
        <v>-4.0457004999999997E-2</v>
      </c>
      <c r="Z92">
        <v>5</v>
      </c>
      <c r="AA92">
        <v>39</v>
      </c>
      <c r="AB92">
        <v>82</v>
      </c>
      <c r="AC92">
        <v>43</v>
      </c>
      <c r="AD92">
        <v>81</v>
      </c>
      <c r="AE92">
        <v>0.3</v>
      </c>
      <c r="AF92">
        <v>0.624</v>
      </c>
      <c r="AG92">
        <v>1.1479999999999999</v>
      </c>
      <c r="AH92">
        <v>3.7668E-2</v>
      </c>
      <c r="AI92">
        <v>2.1096680000000001</v>
      </c>
    </row>
    <row r="93" spans="1:35">
      <c r="A93" t="s">
        <v>20</v>
      </c>
      <c r="B93">
        <v>61.965310019999997</v>
      </c>
      <c r="C93">
        <v>0.66171956899999995</v>
      </c>
      <c r="D93">
        <v>2.0996657060000001</v>
      </c>
      <c r="E93">
        <v>6.6675800000000004E-4</v>
      </c>
      <c r="F93">
        <v>2.0786734619999998</v>
      </c>
      <c r="G93">
        <v>1.398961E-3</v>
      </c>
      <c r="H93">
        <v>-2.0992244E-2</v>
      </c>
      <c r="I93">
        <v>1.0348359999999999E-3</v>
      </c>
      <c r="J93">
        <v>62.41834497</v>
      </c>
      <c r="K93">
        <v>62.013788750000003</v>
      </c>
      <c r="L93">
        <v>60.872489549999997</v>
      </c>
      <c r="M93">
        <v>62.556616810000001</v>
      </c>
      <c r="N93">
        <v>2.099604759</v>
      </c>
      <c r="O93">
        <v>2.0986564790000002</v>
      </c>
      <c r="P93">
        <v>2.1005035900000002</v>
      </c>
      <c r="Q93">
        <v>2.0998979969999998</v>
      </c>
      <c r="R93">
        <v>2.0801814209999998</v>
      </c>
      <c r="S93">
        <v>2.07672569</v>
      </c>
      <c r="T93">
        <v>2.0798054810000002</v>
      </c>
      <c r="U93">
        <v>2.0779812560000002</v>
      </c>
      <c r="V93">
        <v>-1.9423337999999998E-2</v>
      </c>
      <c r="W93">
        <v>-2.1930788999999999E-2</v>
      </c>
      <c r="X93">
        <v>-2.0698108999999999E-2</v>
      </c>
      <c r="Y93">
        <v>-2.1916741E-2</v>
      </c>
      <c r="Z93">
        <v>28</v>
      </c>
      <c r="AA93">
        <v>111</v>
      </c>
      <c r="AB93">
        <v>41</v>
      </c>
      <c r="AC93">
        <v>43</v>
      </c>
      <c r="AD93">
        <v>27</v>
      </c>
      <c r="AE93">
        <v>1.68</v>
      </c>
      <c r="AF93">
        <v>1.776</v>
      </c>
      <c r="AG93">
        <v>0.57399999999999995</v>
      </c>
      <c r="AH93">
        <v>3.7668E-2</v>
      </c>
      <c r="AI93">
        <v>4.0676680000000003</v>
      </c>
    </row>
    <row r="94" spans="1:35">
      <c r="A94" t="s">
        <v>20</v>
      </c>
      <c r="B94">
        <v>59.210886250000001</v>
      </c>
      <c r="C94">
        <v>0.76793214899999995</v>
      </c>
      <c r="D94">
        <v>2.1449624790000001</v>
      </c>
      <c r="E94">
        <v>2.0447109999999998E-3</v>
      </c>
      <c r="F94">
        <v>2.1168915519999998</v>
      </c>
      <c r="G94">
        <v>1.715769E-3</v>
      </c>
      <c r="H94">
        <v>-2.8070926E-2</v>
      </c>
      <c r="I94">
        <v>2.1348000000000001E-3</v>
      </c>
      <c r="J94">
        <v>60.180880199999997</v>
      </c>
      <c r="K94">
        <v>59.705860899999998</v>
      </c>
      <c r="L94">
        <v>58.701924290000001</v>
      </c>
      <c r="M94">
        <v>58.254879610000003</v>
      </c>
      <c r="N94">
        <v>2.1466761320000001</v>
      </c>
      <c r="O94">
        <v>2.1429267169999999</v>
      </c>
      <c r="P94">
        <v>2.1473133459999998</v>
      </c>
      <c r="Q94">
        <v>2.1429337190000002</v>
      </c>
      <c r="R94">
        <v>2.119838085</v>
      </c>
      <c r="S94">
        <v>2.116086573</v>
      </c>
      <c r="T94">
        <v>2.115544839</v>
      </c>
      <c r="U94">
        <v>2.116096712</v>
      </c>
      <c r="V94">
        <v>-2.6838047E-2</v>
      </c>
      <c r="W94">
        <v>-2.6840144E-2</v>
      </c>
      <c r="X94">
        <v>-3.1768507000000001E-2</v>
      </c>
      <c r="Y94">
        <v>-2.6837007E-2</v>
      </c>
      <c r="Z94">
        <v>49</v>
      </c>
      <c r="AA94">
        <v>12</v>
      </c>
      <c r="AB94">
        <v>22</v>
      </c>
      <c r="AC94">
        <v>33</v>
      </c>
      <c r="AD94">
        <v>134</v>
      </c>
      <c r="AE94">
        <v>2.94</v>
      </c>
      <c r="AF94">
        <v>0.192</v>
      </c>
      <c r="AG94">
        <v>0.308</v>
      </c>
      <c r="AH94">
        <v>2.8908E-2</v>
      </c>
      <c r="AI94">
        <v>3.4689079999999999</v>
      </c>
    </row>
    <row r="95" spans="1:35">
      <c r="A95" t="s">
        <v>20</v>
      </c>
      <c r="B95">
        <v>41.885949599999996</v>
      </c>
      <c r="C95">
        <v>0.14386294699999999</v>
      </c>
      <c r="D95">
        <v>2.1324250810000001</v>
      </c>
      <c r="E95">
        <v>9.74996E-4</v>
      </c>
      <c r="F95">
        <v>2.094222308</v>
      </c>
      <c r="G95">
        <v>4.8864399999999999E-4</v>
      </c>
      <c r="H95">
        <v>-3.8202773000000002E-2</v>
      </c>
      <c r="I95">
        <v>1.00077E-3</v>
      </c>
      <c r="J95">
        <v>41.642153909999998</v>
      </c>
      <c r="K95">
        <v>41.945664960000002</v>
      </c>
      <c r="L95">
        <v>42.015680230000001</v>
      </c>
      <c r="M95">
        <v>41.94029931</v>
      </c>
      <c r="N95">
        <v>2.1338477070000001</v>
      </c>
      <c r="O95">
        <v>2.1325243719999998</v>
      </c>
      <c r="P95">
        <v>2.1322166729999998</v>
      </c>
      <c r="Q95">
        <v>2.1311115709999999</v>
      </c>
      <c r="R95">
        <v>2.0947204039999998</v>
      </c>
      <c r="S95">
        <v>2.0934113170000002</v>
      </c>
      <c r="T95">
        <v>2.094365829</v>
      </c>
      <c r="U95">
        <v>2.0943916800000002</v>
      </c>
      <c r="V95">
        <v>-3.9127303000000002E-2</v>
      </c>
      <c r="W95">
        <v>-3.9113055000000001E-2</v>
      </c>
      <c r="X95">
        <v>-3.7850844000000002E-2</v>
      </c>
      <c r="Y95">
        <v>-3.6719890999999998E-2</v>
      </c>
      <c r="Z95">
        <v>7</v>
      </c>
      <c r="AA95">
        <v>32</v>
      </c>
      <c r="AB95">
        <v>117</v>
      </c>
      <c r="AC95">
        <v>44</v>
      </c>
      <c r="AD95">
        <v>50</v>
      </c>
      <c r="AE95">
        <v>0.42</v>
      </c>
      <c r="AF95">
        <v>0.51200000000000001</v>
      </c>
      <c r="AG95">
        <v>1.6379999999999999</v>
      </c>
      <c r="AH95">
        <v>3.8544000000000002E-2</v>
      </c>
      <c r="AI95">
        <v>2.6085440000000002</v>
      </c>
    </row>
    <row r="96" spans="1:35">
      <c r="A96" t="s">
        <v>20</v>
      </c>
      <c r="B96">
        <v>15.084016950000001</v>
      </c>
      <c r="C96">
        <v>0.210340585</v>
      </c>
      <c r="D96">
        <v>2.6444695139999999</v>
      </c>
      <c r="E96">
        <v>4.1628840000000004E-3</v>
      </c>
      <c r="F96">
        <v>2.5343740590000001</v>
      </c>
      <c r="G96">
        <v>5.8437250000000001E-3</v>
      </c>
      <c r="H96">
        <v>-0.11009545499999999</v>
      </c>
      <c r="I96">
        <v>2.6392379999999999E-3</v>
      </c>
      <c r="J96">
        <v>15.37562556</v>
      </c>
      <c r="K96">
        <v>15.192691460000001</v>
      </c>
      <c r="L96">
        <v>14.88648543</v>
      </c>
      <c r="M96">
        <v>14.881265340000001</v>
      </c>
      <c r="N96">
        <v>2.6498354709999998</v>
      </c>
      <c r="O96">
        <v>2.6398315289999998</v>
      </c>
      <c r="P96">
        <v>2.6410437440000001</v>
      </c>
      <c r="Q96">
        <v>2.6471673120000001</v>
      </c>
      <c r="R96">
        <v>2.5439885179999999</v>
      </c>
      <c r="S96">
        <v>2.529101635</v>
      </c>
      <c r="T96">
        <v>2.5303411119999999</v>
      </c>
      <c r="U96">
        <v>2.5340649719999999</v>
      </c>
      <c r="V96">
        <v>-0.10584695299999999</v>
      </c>
      <c r="W96">
        <v>-0.110729894</v>
      </c>
      <c r="X96">
        <v>-0.110702632</v>
      </c>
      <c r="Y96">
        <v>-0.11310234</v>
      </c>
      <c r="Z96">
        <v>0</v>
      </c>
      <c r="AA96">
        <v>6</v>
      </c>
      <c r="AB96">
        <v>25</v>
      </c>
      <c r="AC96">
        <v>161</v>
      </c>
      <c r="AD96">
        <v>58</v>
      </c>
      <c r="AE96">
        <v>0</v>
      </c>
      <c r="AF96">
        <v>9.6000000000000002E-2</v>
      </c>
      <c r="AG96">
        <v>0.35</v>
      </c>
      <c r="AH96">
        <v>0.14103599999999999</v>
      </c>
      <c r="AI96">
        <v>0.587036</v>
      </c>
    </row>
    <row r="97" spans="1:35">
      <c r="A97" t="s">
        <v>20</v>
      </c>
      <c r="B97">
        <v>74.171588349999993</v>
      </c>
      <c r="C97">
        <v>0.47423055800000002</v>
      </c>
      <c r="D97">
        <v>2.6201032039999999</v>
      </c>
      <c r="E97">
        <v>8.0908799999999999E-3</v>
      </c>
      <c r="F97">
        <v>2.5551787030000002</v>
      </c>
      <c r="G97">
        <v>6.1314380000000003E-3</v>
      </c>
      <c r="H97">
        <v>-6.4924500999999996E-2</v>
      </c>
      <c r="I97">
        <v>2.06543E-3</v>
      </c>
      <c r="J97">
        <v>74.138323990000004</v>
      </c>
      <c r="K97">
        <v>73.491510770000005</v>
      </c>
      <c r="L97">
        <v>74.226980299999994</v>
      </c>
      <c r="M97">
        <v>74.829538339999999</v>
      </c>
      <c r="N97">
        <v>2.633694712</v>
      </c>
      <c r="O97">
        <v>2.6165501889999998</v>
      </c>
      <c r="P97">
        <v>2.6177401470000001</v>
      </c>
      <c r="Q97">
        <v>2.6124277679999999</v>
      </c>
      <c r="R97">
        <v>2.5653507860000002</v>
      </c>
      <c r="S97">
        <v>2.551792566</v>
      </c>
      <c r="T97">
        <v>2.5542773539999999</v>
      </c>
      <c r="U97">
        <v>2.5492941060000001</v>
      </c>
      <c r="V97">
        <v>-6.8343925999999999E-2</v>
      </c>
      <c r="W97">
        <v>-6.4757623E-2</v>
      </c>
      <c r="X97">
        <v>-6.3462793000000003E-2</v>
      </c>
      <c r="Y97">
        <v>-6.3133661999999993E-2</v>
      </c>
      <c r="Z97">
        <v>0</v>
      </c>
      <c r="AA97">
        <v>135</v>
      </c>
      <c r="AB97">
        <v>33</v>
      </c>
      <c r="AC97">
        <v>40</v>
      </c>
      <c r="AD97">
        <v>42</v>
      </c>
      <c r="AE97">
        <v>0</v>
      </c>
      <c r="AF97">
        <v>2.16</v>
      </c>
      <c r="AG97">
        <v>0.46200000000000002</v>
      </c>
      <c r="AH97">
        <v>3.5040000000000002E-2</v>
      </c>
      <c r="AI97">
        <v>2.6570399999999998</v>
      </c>
    </row>
    <row r="98" spans="1:35">
      <c r="A98" t="s">
        <v>20</v>
      </c>
      <c r="B98">
        <v>61.917172970000003</v>
      </c>
      <c r="C98">
        <v>1.106536682</v>
      </c>
      <c r="D98">
        <v>2.124252136</v>
      </c>
      <c r="E98">
        <v>2.5898010000000001E-3</v>
      </c>
      <c r="F98">
        <v>2.0912678960000002</v>
      </c>
      <c r="G98">
        <v>3.9446919999999996E-3</v>
      </c>
      <c r="H98">
        <v>-3.2984238999999999E-2</v>
      </c>
      <c r="I98">
        <v>1.732737E-3</v>
      </c>
      <c r="J98">
        <v>63.685613719999999</v>
      </c>
      <c r="K98">
        <v>61.639406749999999</v>
      </c>
      <c r="L98">
        <v>60.632344430000003</v>
      </c>
      <c r="M98">
        <v>61.711326970000002</v>
      </c>
      <c r="N98">
        <v>2.1246337679999998</v>
      </c>
      <c r="O98">
        <v>2.1263800819999998</v>
      </c>
      <c r="P98">
        <v>2.1260799979999998</v>
      </c>
      <c r="Q98">
        <v>2.1199146940000002</v>
      </c>
      <c r="R98">
        <v>2.0940820470000001</v>
      </c>
      <c r="S98">
        <v>2.0934075330000002</v>
      </c>
      <c r="T98">
        <v>2.093119679</v>
      </c>
      <c r="U98">
        <v>2.0844623260000001</v>
      </c>
      <c r="V98">
        <v>-3.0551721E-2</v>
      </c>
      <c r="W98">
        <v>-3.2972548999999997E-2</v>
      </c>
      <c r="X98">
        <v>-3.2960319000000002E-2</v>
      </c>
      <c r="Y98">
        <v>-3.5452367999999998E-2</v>
      </c>
      <c r="Z98">
        <v>10</v>
      </c>
      <c r="AA98">
        <v>68</v>
      </c>
      <c r="AB98">
        <v>97</v>
      </c>
      <c r="AC98">
        <v>47</v>
      </c>
      <c r="AD98">
        <v>28</v>
      </c>
      <c r="AE98">
        <v>0.6</v>
      </c>
      <c r="AF98">
        <v>1.0880000000000001</v>
      </c>
      <c r="AG98">
        <v>1.3580000000000001</v>
      </c>
      <c r="AH98">
        <v>4.1172E-2</v>
      </c>
      <c r="AI98">
        <v>3.0871719999999998</v>
      </c>
    </row>
    <row r="99" spans="1:35">
      <c r="A99" t="s">
        <v>20</v>
      </c>
      <c r="B99">
        <v>5.3430954919999998</v>
      </c>
      <c r="C99">
        <v>1.325761609</v>
      </c>
      <c r="D99">
        <v>0.88580255500000005</v>
      </c>
      <c r="E99">
        <v>0.62710422700000001</v>
      </c>
      <c r="F99">
        <v>1.4314769199999999</v>
      </c>
      <c r="G99">
        <v>1.012238787</v>
      </c>
      <c r="H99">
        <v>0.54567436499999999</v>
      </c>
      <c r="I99">
        <v>0.38651059500000001</v>
      </c>
      <c r="J99">
        <v>7.1816685519999997</v>
      </c>
      <c r="K99">
        <v>4.7419325089999997</v>
      </c>
      <c r="L99">
        <v>4.1056854149999999</v>
      </c>
      <c r="M99">
        <v>11.569164450000001</v>
      </c>
      <c r="N99">
        <v>0</v>
      </c>
      <c r="O99">
        <v>1.3661863839999999</v>
      </c>
      <c r="P99">
        <v>1.291221282</v>
      </c>
      <c r="Q99">
        <v>1.2843342289999999</v>
      </c>
      <c r="R99">
        <v>0</v>
      </c>
      <c r="S99">
        <v>2.1570343169999999</v>
      </c>
      <c r="T99">
        <v>2.1373964440000002</v>
      </c>
      <c r="U99">
        <v>2.1426349359999999</v>
      </c>
      <c r="V99">
        <v>0</v>
      </c>
      <c r="W99">
        <v>0.790847933</v>
      </c>
      <c r="X99">
        <v>0.84617516199999998</v>
      </c>
      <c r="Y99">
        <v>0.85830070700000005</v>
      </c>
      <c r="Z99">
        <v>164</v>
      </c>
      <c r="AA99">
        <v>40</v>
      </c>
      <c r="AB99">
        <v>45</v>
      </c>
      <c r="AC99">
        <v>0</v>
      </c>
      <c r="AD99">
        <v>1</v>
      </c>
      <c r="AE99">
        <v>9.84</v>
      </c>
      <c r="AF99">
        <v>0.64</v>
      </c>
      <c r="AG99">
        <v>0.63</v>
      </c>
      <c r="AH99">
        <v>0</v>
      </c>
      <c r="AI99">
        <v>11.11</v>
      </c>
    </row>
    <row r="100" spans="1:35">
      <c r="A100" t="s">
        <v>20</v>
      </c>
      <c r="B100">
        <v>4.6043201380000003</v>
      </c>
      <c r="C100">
        <v>4.9524402000000002E-2</v>
      </c>
      <c r="D100">
        <v>2.6496801720000001</v>
      </c>
      <c r="E100">
        <v>1.0707886E-2</v>
      </c>
      <c r="F100">
        <v>2.5129925910000002</v>
      </c>
      <c r="G100">
        <v>7.751684E-3</v>
      </c>
      <c r="H100">
        <v>-0.136687581</v>
      </c>
      <c r="I100">
        <v>4.3386190000000002E-3</v>
      </c>
      <c r="J100">
        <v>4.4489527310000003</v>
      </c>
      <c r="K100">
        <v>4.648167076</v>
      </c>
      <c r="L100">
        <v>4.5350988460000003</v>
      </c>
      <c r="M100">
        <v>4.6296944919999996</v>
      </c>
      <c r="N100">
        <v>0.34466207999999998</v>
      </c>
      <c r="O100">
        <v>2.6625985719999998</v>
      </c>
      <c r="P100">
        <v>2.6500638109999999</v>
      </c>
      <c r="Q100">
        <v>2.6363781340000001</v>
      </c>
      <c r="R100">
        <v>0.22260625000000001</v>
      </c>
      <c r="S100">
        <v>2.5198131589999999</v>
      </c>
      <c r="T100">
        <v>2.517014858</v>
      </c>
      <c r="U100">
        <v>2.5021497570000002</v>
      </c>
      <c r="V100">
        <v>-0.12205583</v>
      </c>
      <c r="W100">
        <v>-0.142785413</v>
      </c>
      <c r="X100">
        <v>-0.133048953</v>
      </c>
      <c r="Y100">
        <v>-0.13422837700000001</v>
      </c>
      <c r="Z100">
        <v>0</v>
      </c>
      <c r="AA100">
        <v>0</v>
      </c>
      <c r="AB100">
        <v>6</v>
      </c>
      <c r="AC100">
        <v>81</v>
      </c>
      <c r="AD100">
        <v>163</v>
      </c>
      <c r="AE100">
        <v>0</v>
      </c>
      <c r="AF100">
        <v>0</v>
      </c>
      <c r="AG100">
        <v>8.4000000000000005E-2</v>
      </c>
      <c r="AH100">
        <v>7.0956000000000005E-2</v>
      </c>
      <c r="AI100">
        <v>0.15495600000000001</v>
      </c>
    </row>
    <row r="101" spans="1:35">
      <c r="A101" t="s">
        <v>20</v>
      </c>
      <c r="B101">
        <v>67.970389159999996</v>
      </c>
      <c r="C101">
        <v>1.3155840000000001</v>
      </c>
      <c r="D101">
        <v>2.5998864660000001</v>
      </c>
      <c r="E101">
        <v>5.8144340000000003E-3</v>
      </c>
      <c r="F101">
        <v>2.5597733100000002</v>
      </c>
      <c r="G101">
        <v>6.3452300000000003E-3</v>
      </c>
      <c r="H101">
        <v>-4.0113157000000003E-2</v>
      </c>
      <c r="I101">
        <v>5.6233300000000004E-4</v>
      </c>
      <c r="J101">
        <v>70.062339589999993</v>
      </c>
      <c r="K101">
        <v>68.081727529999995</v>
      </c>
      <c r="L101">
        <v>67.100209090000007</v>
      </c>
      <c r="M101">
        <v>66.637280439999998</v>
      </c>
      <c r="N101">
        <v>2.6094291030000001</v>
      </c>
      <c r="O101">
        <v>2.5958188029999998</v>
      </c>
      <c r="P101">
        <v>2.599662452</v>
      </c>
      <c r="Q101">
        <v>2.594635507</v>
      </c>
      <c r="R101">
        <v>2.5702893470000001</v>
      </c>
      <c r="S101">
        <v>2.5554083799999998</v>
      </c>
      <c r="T101">
        <v>2.5591967599999998</v>
      </c>
      <c r="U101">
        <v>2.5541987509999999</v>
      </c>
      <c r="V101">
        <v>-3.9139755999999998E-2</v>
      </c>
      <c r="W101">
        <v>-4.0410423000000001E-2</v>
      </c>
      <c r="X101">
        <v>-4.0465691999999998E-2</v>
      </c>
      <c r="Y101">
        <v>-4.0436755999999997E-2</v>
      </c>
      <c r="Z101">
        <v>0</v>
      </c>
      <c r="AA101">
        <v>98</v>
      </c>
      <c r="AB101">
        <v>96</v>
      </c>
      <c r="AC101">
        <v>23</v>
      </c>
      <c r="AD101">
        <v>33</v>
      </c>
      <c r="AE101">
        <v>0</v>
      </c>
      <c r="AF101">
        <v>1.5680000000000001</v>
      </c>
      <c r="AG101">
        <v>1.3440000000000001</v>
      </c>
      <c r="AH101">
        <v>2.0147999999999999E-2</v>
      </c>
      <c r="AI101">
        <v>2.9321480000000002</v>
      </c>
    </row>
    <row r="102" spans="1:35">
      <c r="A102" t="s">
        <v>20</v>
      </c>
      <c r="B102">
        <v>48.570687030000002</v>
      </c>
      <c r="C102">
        <v>1.435741538</v>
      </c>
      <c r="D102">
        <v>2.1647265080000002</v>
      </c>
      <c r="E102">
        <v>7.8051499999999996E-4</v>
      </c>
      <c r="F102">
        <v>2.1243050050000001</v>
      </c>
      <c r="G102">
        <v>7.7991099999999999E-4</v>
      </c>
      <c r="H102">
        <v>-4.0421502999999998E-2</v>
      </c>
      <c r="I102" s="5" t="s">
        <v>89</v>
      </c>
      <c r="J102">
        <v>49.708414179999998</v>
      </c>
      <c r="K102">
        <v>48.01796564</v>
      </c>
      <c r="L102">
        <v>46.478965539999997</v>
      </c>
      <c r="M102">
        <v>50.077402749999997</v>
      </c>
      <c r="N102">
        <v>2.1660775559999998</v>
      </c>
      <c r="O102">
        <v>2.1642535879999998</v>
      </c>
      <c r="P102">
        <v>2.1643211920000001</v>
      </c>
      <c r="Q102">
        <v>2.1642536950000002</v>
      </c>
      <c r="R102">
        <v>2.125655724</v>
      </c>
      <c r="S102">
        <v>2.123840806</v>
      </c>
      <c r="T102">
        <v>2.1238707319999999</v>
      </c>
      <c r="U102">
        <v>2.123852759</v>
      </c>
      <c r="V102">
        <v>-4.0421831999999998E-2</v>
      </c>
      <c r="W102">
        <v>-4.0412782000000001E-2</v>
      </c>
      <c r="X102">
        <v>-4.0450460000000001E-2</v>
      </c>
      <c r="Y102">
        <v>-4.0400935999999998E-2</v>
      </c>
      <c r="Z102">
        <v>11</v>
      </c>
      <c r="AA102">
        <v>10</v>
      </c>
      <c r="AB102">
        <v>59</v>
      </c>
      <c r="AC102">
        <v>61</v>
      </c>
      <c r="AD102">
        <v>109</v>
      </c>
      <c r="AE102">
        <v>0.66</v>
      </c>
      <c r="AF102">
        <v>0.16</v>
      </c>
      <c r="AG102">
        <v>0.82599999999999996</v>
      </c>
      <c r="AH102">
        <v>5.3435999999999997E-2</v>
      </c>
      <c r="AI102">
        <v>1.6994359999999999</v>
      </c>
    </row>
    <row r="103" spans="1:35">
      <c r="A103" t="s">
        <v>20</v>
      </c>
      <c r="B103">
        <v>66.705797340000004</v>
      </c>
      <c r="C103">
        <v>1.6479012740000001</v>
      </c>
      <c r="D103">
        <v>2.0881042490000001</v>
      </c>
      <c r="E103">
        <v>2.9766609999999998E-3</v>
      </c>
      <c r="F103">
        <v>2.098875498</v>
      </c>
      <c r="G103">
        <v>3.9759699999999997E-3</v>
      </c>
      <c r="H103">
        <v>1.0771248000000001E-2</v>
      </c>
      <c r="I103">
        <v>9.9935299999999992E-4</v>
      </c>
      <c r="J103">
        <v>69.072346980000006</v>
      </c>
      <c r="K103">
        <v>66.620994150000001</v>
      </c>
      <c r="L103">
        <v>66.716310719999996</v>
      </c>
      <c r="M103">
        <v>64.413537509999998</v>
      </c>
      <c r="N103">
        <v>2.0925307809999998</v>
      </c>
      <c r="O103">
        <v>2.089120887</v>
      </c>
      <c r="P103">
        <v>2.085394</v>
      </c>
      <c r="Q103">
        <v>2.085371329</v>
      </c>
      <c r="R103">
        <v>2.1047952790000002</v>
      </c>
      <c r="S103">
        <v>2.1002195669999999</v>
      </c>
      <c r="T103">
        <v>2.0952686429999998</v>
      </c>
      <c r="U103">
        <v>2.0952185010000002</v>
      </c>
      <c r="V103">
        <v>1.2264498E-2</v>
      </c>
      <c r="W103">
        <v>1.109868E-2</v>
      </c>
      <c r="X103">
        <v>9.8746430000000007E-3</v>
      </c>
      <c r="Y103">
        <v>9.8471719999999995E-3</v>
      </c>
      <c r="Z103">
        <v>130</v>
      </c>
      <c r="AA103">
        <v>9</v>
      </c>
      <c r="AB103">
        <v>0</v>
      </c>
      <c r="AC103">
        <v>0</v>
      </c>
      <c r="AD103">
        <v>111</v>
      </c>
      <c r="AE103">
        <v>7.8</v>
      </c>
      <c r="AF103">
        <v>0.14399999999999999</v>
      </c>
      <c r="AG103">
        <v>0</v>
      </c>
      <c r="AH103">
        <v>0</v>
      </c>
      <c r="AI103">
        <v>7.944</v>
      </c>
    </row>
    <row r="104" spans="1:35">
      <c r="A104" t="s">
        <v>20</v>
      </c>
      <c r="B104">
        <v>64.859480739999995</v>
      </c>
      <c r="C104">
        <v>1.0831920370000001</v>
      </c>
      <c r="D104">
        <v>2.586067935</v>
      </c>
      <c r="E104">
        <v>4.0544550000000002E-3</v>
      </c>
      <c r="F104">
        <v>2.5459421739999999</v>
      </c>
      <c r="G104">
        <v>4.3694709999999998E-3</v>
      </c>
      <c r="H104">
        <v>-4.0125761000000003E-2</v>
      </c>
      <c r="I104">
        <v>5.5976699999999997E-4</v>
      </c>
      <c r="J104">
        <v>65.061099659999996</v>
      </c>
      <c r="K104">
        <v>64.693582559999996</v>
      </c>
      <c r="L104">
        <v>66.362213940000004</v>
      </c>
      <c r="M104">
        <v>63.321026809999999</v>
      </c>
      <c r="N104">
        <v>2.5848872940000001</v>
      </c>
      <c r="O104">
        <v>2.5897814600000002</v>
      </c>
      <c r="P104">
        <v>2.5799351559999999</v>
      </c>
      <c r="Q104">
        <v>2.5896678309999999</v>
      </c>
      <c r="R104">
        <v>2.5444280300000002</v>
      </c>
      <c r="S104">
        <v>2.5493405170000001</v>
      </c>
      <c r="T104">
        <v>2.5394886030000001</v>
      </c>
      <c r="U104">
        <v>2.5505115460000001</v>
      </c>
      <c r="V104">
        <v>-4.0459264000000002E-2</v>
      </c>
      <c r="W104">
        <v>-4.0440943E-2</v>
      </c>
      <c r="X104">
        <v>-4.0446553000000003E-2</v>
      </c>
      <c r="Y104">
        <v>-3.9156284999999999E-2</v>
      </c>
      <c r="Z104">
        <v>0</v>
      </c>
      <c r="AA104">
        <v>114</v>
      </c>
      <c r="AB104">
        <v>93</v>
      </c>
      <c r="AC104">
        <v>33</v>
      </c>
      <c r="AD104">
        <v>10</v>
      </c>
      <c r="AE104">
        <v>0</v>
      </c>
      <c r="AF104">
        <v>1.8240000000000001</v>
      </c>
      <c r="AG104">
        <v>1.302</v>
      </c>
      <c r="AH104">
        <v>2.8908E-2</v>
      </c>
      <c r="AI104">
        <v>3.1549079999999998</v>
      </c>
    </row>
    <row r="105" spans="1:35">
      <c r="A105" t="s">
        <v>20</v>
      </c>
      <c r="B105">
        <v>38.69520026</v>
      </c>
      <c r="C105">
        <v>1.6396333219999999</v>
      </c>
      <c r="D105">
        <v>2.6158730430000001</v>
      </c>
      <c r="E105">
        <v>4.1056929999999997E-3</v>
      </c>
      <c r="F105">
        <v>2.5763955109999999</v>
      </c>
      <c r="G105">
        <v>4.2594089999999996E-3</v>
      </c>
      <c r="H105">
        <v>-3.9477532000000003E-2</v>
      </c>
      <c r="I105">
        <v>5.6424100000000005E-4</v>
      </c>
      <c r="J105">
        <v>38.731138770000001</v>
      </c>
      <c r="K105">
        <v>41.354456620000001</v>
      </c>
      <c r="L105">
        <v>37.5035132</v>
      </c>
      <c r="M105">
        <v>37.191692459999999</v>
      </c>
      <c r="N105">
        <v>2.6143893679999999</v>
      </c>
      <c r="O105">
        <v>2.6131168279999999</v>
      </c>
      <c r="P105">
        <v>2.6229245450000001</v>
      </c>
      <c r="Q105">
        <v>2.6130614310000002</v>
      </c>
      <c r="R105">
        <v>2.573935112</v>
      </c>
      <c r="S105">
        <v>2.5739373849999998</v>
      </c>
      <c r="T105">
        <v>2.5837730240000001</v>
      </c>
      <c r="U105">
        <v>2.5739365219999999</v>
      </c>
      <c r="V105">
        <v>-4.0454256000000001E-2</v>
      </c>
      <c r="W105">
        <v>-3.9179443000000001E-2</v>
      </c>
      <c r="X105">
        <v>-3.9151521000000002E-2</v>
      </c>
      <c r="Y105">
        <v>-3.9124908999999999E-2</v>
      </c>
      <c r="Z105">
        <v>0</v>
      </c>
      <c r="AA105">
        <v>31</v>
      </c>
      <c r="AB105">
        <v>195</v>
      </c>
      <c r="AC105">
        <v>22</v>
      </c>
      <c r="AD105">
        <v>2</v>
      </c>
      <c r="AE105">
        <v>0</v>
      </c>
      <c r="AF105">
        <v>0.496</v>
      </c>
      <c r="AG105">
        <v>2.73</v>
      </c>
      <c r="AH105">
        <v>1.9272000000000001E-2</v>
      </c>
      <c r="AI105">
        <v>3.2452719999999999</v>
      </c>
    </row>
    <row r="106" spans="1:35">
      <c r="A106" t="s">
        <v>20</v>
      </c>
      <c r="B106">
        <v>55.005872080000003</v>
      </c>
      <c r="C106">
        <v>0.59488477200000001</v>
      </c>
      <c r="D106">
        <v>2.1717419229999999</v>
      </c>
      <c r="E106">
        <v>1.2800807000000001E-2</v>
      </c>
      <c r="F106">
        <v>2.1176435649999998</v>
      </c>
      <c r="G106">
        <v>2.3807400000000001E-3</v>
      </c>
      <c r="H106">
        <v>-5.4098357999999999E-2</v>
      </c>
      <c r="I106">
        <v>1.432608E-2</v>
      </c>
      <c r="J106">
        <v>54.095850239999997</v>
      </c>
      <c r="K106">
        <v>55.558317389999999</v>
      </c>
      <c r="L106">
        <v>55.515027949999997</v>
      </c>
      <c r="M106">
        <v>54.854292739999998</v>
      </c>
      <c r="N106">
        <v>2.1608531379999998</v>
      </c>
      <c r="O106">
        <v>2.1572679940000001</v>
      </c>
      <c r="P106">
        <v>2.1827278720000001</v>
      </c>
      <c r="Q106">
        <v>2.186118687</v>
      </c>
      <c r="R106">
        <v>2.1216936510000002</v>
      </c>
      <c r="S106">
        <v>2.1168135939999999</v>
      </c>
      <c r="T106">
        <v>2.1155890519999998</v>
      </c>
      <c r="U106">
        <v>2.1164779629999999</v>
      </c>
      <c r="V106">
        <v>-3.9159487E-2</v>
      </c>
      <c r="W106">
        <v>-4.0454400000000001E-2</v>
      </c>
      <c r="X106">
        <v>-6.7138820000000002E-2</v>
      </c>
      <c r="Y106">
        <v>-6.9640724000000001E-2</v>
      </c>
      <c r="Z106">
        <v>12</v>
      </c>
      <c r="AA106">
        <v>29</v>
      </c>
      <c r="AB106">
        <v>39</v>
      </c>
      <c r="AC106">
        <v>164</v>
      </c>
      <c r="AD106">
        <v>6</v>
      </c>
      <c r="AE106">
        <v>0.72</v>
      </c>
      <c r="AF106">
        <v>0.46400000000000002</v>
      </c>
      <c r="AG106">
        <v>0.54600000000000004</v>
      </c>
      <c r="AH106">
        <v>0.14366399999999999</v>
      </c>
      <c r="AI106">
        <v>1.873664</v>
      </c>
    </row>
    <row r="107" spans="1:35">
      <c r="A107" t="s">
        <v>20</v>
      </c>
      <c r="B107">
        <v>32.109580090000001</v>
      </c>
      <c r="C107">
        <v>1.5476074150000001</v>
      </c>
      <c r="D107">
        <v>2.0391632089999998</v>
      </c>
      <c r="E107">
        <v>7.8040399999999995E-4</v>
      </c>
      <c r="F107">
        <v>2.0647354610000002</v>
      </c>
      <c r="G107">
        <v>4.0627240000000002E-3</v>
      </c>
      <c r="H107">
        <v>2.5572253E-2</v>
      </c>
      <c r="I107">
        <v>4.1131680000000004E-3</v>
      </c>
      <c r="J107">
        <v>34.414493550000003</v>
      </c>
      <c r="K107">
        <v>32.512972810000001</v>
      </c>
      <c r="L107">
        <v>31.223156540000002</v>
      </c>
      <c r="M107">
        <v>30.287697439999999</v>
      </c>
      <c r="N107">
        <v>2.0389492840000001</v>
      </c>
      <c r="O107">
        <v>2.0398071500000001</v>
      </c>
      <c r="P107">
        <v>2.03797783</v>
      </c>
      <c r="Q107">
        <v>2.0399185709999998</v>
      </c>
      <c r="R107">
        <v>2.070959395</v>
      </c>
      <c r="S107">
        <v>2.065743157</v>
      </c>
      <c r="T107">
        <v>2.0613665060000002</v>
      </c>
      <c r="U107">
        <v>2.0608727870000001</v>
      </c>
      <c r="V107">
        <v>3.2010111000000001E-2</v>
      </c>
      <c r="W107">
        <v>2.5936007000000001E-2</v>
      </c>
      <c r="X107">
        <v>2.3388676000000001E-2</v>
      </c>
      <c r="Y107">
        <v>2.0954216000000001E-2</v>
      </c>
      <c r="Z107">
        <v>193</v>
      </c>
      <c r="AA107">
        <v>0</v>
      </c>
      <c r="AB107">
        <v>0</v>
      </c>
      <c r="AC107">
        <v>17</v>
      </c>
      <c r="AD107">
        <v>40</v>
      </c>
      <c r="AE107">
        <v>11.58</v>
      </c>
      <c r="AF107">
        <v>0</v>
      </c>
      <c r="AG107">
        <v>0</v>
      </c>
      <c r="AH107">
        <v>1.4892000000000001E-2</v>
      </c>
      <c r="AI107">
        <v>11.594892</v>
      </c>
    </row>
    <row r="108" spans="1:35">
      <c r="A108" t="s">
        <v>20</v>
      </c>
      <c r="B108">
        <v>46.323883410000001</v>
      </c>
      <c r="C108">
        <v>2.3833011329999998</v>
      </c>
      <c r="D108">
        <v>2.0452134449999999</v>
      </c>
      <c r="E108">
        <v>1.951272E-3</v>
      </c>
      <c r="F108">
        <v>2.0603600910000002</v>
      </c>
      <c r="G108">
        <v>1.721825E-3</v>
      </c>
      <c r="H108">
        <v>1.5146646E-2</v>
      </c>
      <c r="I108">
        <v>1.04948E-3</v>
      </c>
      <c r="J108">
        <v>42.199216190000001</v>
      </c>
      <c r="K108">
        <v>47.85508248</v>
      </c>
      <c r="L108">
        <v>47.622665499999997</v>
      </c>
      <c r="M108">
        <v>47.618569460000003</v>
      </c>
      <c r="N108">
        <v>2.0419608020000002</v>
      </c>
      <c r="O108">
        <v>2.045436295</v>
      </c>
      <c r="P108">
        <v>2.0466552789999999</v>
      </c>
      <c r="Q108">
        <v>2.0468014050000001</v>
      </c>
      <c r="R108">
        <v>2.0580548009999999</v>
      </c>
      <c r="S108">
        <v>2.060239997</v>
      </c>
      <c r="T108">
        <v>2.06023325</v>
      </c>
      <c r="U108">
        <v>2.0629123150000002</v>
      </c>
      <c r="V108">
        <v>1.6093999000000001E-2</v>
      </c>
      <c r="W108">
        <v>1.4803702E-2</v>
      </c>
      <c r="X108">
        <v>1.3577970999999999E-2</v>
      </c>
      <c r="Y108">
        <v>1.6110909999999999E-2</v>
      </c>
      <c r="Z108">
        <v>94</v>
      </c>
      <c r="AA108">
        <v>125</v>
      </c>
      <c r="AB108">
        <v>11</v>
      </c>
      <c r="AC108">
        <v>15</v>
      </c>
      <c r="AD108">
        <v>5</v>
      </c>
      <c r="AE108">
        <v>5.64</v>
      </c>
      <c r="AF108">
        <v>2</v>
      </c>
      <c r="AG108">
        <v>0.154</v>
      </c>
      <c r="AH108">
        <v>1.3140000000000001E-2</v>
      </c>
      <c r="AI108">
        <v>7.8071400000000004</v>
      </c>
    </row>
    <row r="109" spans="1:35">
      <c r="A109" t="s">
        <v>20</v>
      </c>
      <c r="B109">
        <v>26.991037649999999</v>
      </c>
      <c r="C109">
        <v>1.5112721250000001</v>
      </c>
      <c r="D109">
        <v>2.0278177589999999</v>
      </c>
      <c r="E109">
        <v>7.6975899999999996E-4</v>
      </c>
      <c r="F109">
        <v>2.0555626760000001</v>
      </c>
      <c r="G109">
        <v>8.8671349999999999E-3</v>
      </c>
      <c r="H109">
        <v>2.7744918E-2</v>
      </c>
      <c r="I109">
        <v>8.1153679999999995E-3</v>
      </c>
      <c r="J109">
        <v>28.865496329999999</v>
      </c>
      <c r="K109">
        <v>27.530337660000001</v>
      </c>
      <c r="L109">
        <v>26.88375332</v>
      </c>
      <c r="M109">
        <v>24.68456329</v>
      </c>
      <c r="N109">
        <v>2.0289981359999998</v>
      </c>
      <c r="O109">
        <v>2.0278429619999998</v>
      </c>
      <c r="P109">
        <v>2.026861786</v>
      </c>
      <c r="Q109">
        <v>2.02756815</v>
      </c>
      <c r="R109">
        <v>2.0697140900000002</v>
      </c>
      <c r="S109">
        <v>2.0561781940000001</v>
      </c>
      <c r="T109">
        <v>2.0466248949999999</v>
      </c>
      <c r="U109">
        <v>2.0497335250000002</v>
      </c>
      <c r="V109">
        <v>4.0715953999999999E-2</v>
      </c>
      <c r="W109">
        <v>2.8335231999999998E-2</v>
      </c>
      <c r="X109">
        <v>1.9763109000000001E-2</v>
      </c>
      <c r="Y109">
        <v>2.2165375000000001E-2</v>
      </c>
      <c r="Z109">
        <v>192</v>
      </c>
      <c r="AA109">
        <v>12</v>
      </c>
      <c r="AB109">
        <v>24</v>
      </c>
      <c r="AC109">
        <v>19</v>
      </c>
      <c r="AD109">
        <v>3</v>
      </c>
      <c r="AE109">
        <v>11.52</v>
      </c>
      <c r="AF109">
        <v>0.192</v>
      </c>
      <c r="AG109">
        <v>0.33600000000000002</v>
      </c>
      <c r="AH109">
        <v>1.6643999999999999E-2</v>
      </c>
      <c r="AI109">
        <v>12.064643999999999</v>
      </c>
    </row>
    <row r="110" spans="1:35">
      <c r="A110" t="s">
        <v>20</v>
      </c>
      <c r="B110">
        <v>27.73421012</v>
      </c>
      <c r="C110">
        <v>0.23467669799999999</v>
      </c>
      <c r="D110">
        <v>2.661814675</v>
      </c>
      <c r="E110">
        <v>5.2962649999999997E-3</v>
      </c>
      <c r="F110">
        <v>2.5343327009999999</v>
      </c>
      <c r="G110">
        <v>9.2314059999999993E-3</v>
      </c>
      <c r="H110">
        <v>-0.127481974</v>
      </c>
      <c r="I110">
        <v>4.2914219999999996E-3</v>
      </c>
      <c r="J110">
        <v>27.718896910000002</v>
      </c>
      <c r="K110">
        <v>28.101980489999999</v>
      </c>
      <c r="L110">
        <v>27.451468519999999</v>
      </c>
      <c r="M110">
        <v>27.664494569999999</v>
      </c>
      <c r="N110">
        <v>2.6699151240000001</v>
      </c>
      <c r="O110">
        <v>2.661100276</v>
      </c>
      <c r="P110">
        <v>2.6550559379999998</v>
      </c>
      <c r="Q110">
        <v>2.6611873629999998</v>
      </c>
      <c r="R110">
        <v>2.5491531049999998</v>
      </c>
      <c r="S110">
        <v>2.5342890549999999</v>
      </c>
      <c r="T110">
        <v>2.5244894389999999</v>
      </c>
      <c r="U110">
        <v>2.5293992059999999</v>
      </c>
      <c r="V110">
        <v>-0.120762019</v>
      </c>
      <c r="W110">
        <v>-0.126811221</v>
      </c>
      <c r="X110">
        <v>-0.130566499</v>
      </c>
      <c r="Y110">
        <v>-0.13178815699999999</v>
      </c>
      <c r="Z110">
        <v>0</v>
      </c>
      <c r="AA110">
        <v>19</v>
      </c>
      <c r="AB110">
        <v>24</v>
      </c>
      <c r="AC110">
        <v>206</v>
      </c>
      <c r="AD110">
        <v>1</v>
      </c>
      <c r="AE110">
        <v>0</v>
      </c>
      <c r="AF110">
        <v>0.30399999999999999</v>
      </c>
      <c r="AG110">
        <v>0.33600000000000002</v>
      </c>
      <c r="AH110">
        <v>0.18045600000000001</v>
      </c>
      <c r="AI110">
        <v>0.82045599999999996</v>
      </c>
    </row>
    <row r="111" spans="1:35">
      <c r="A111" t="s">
        <v>20</v>
      </c>
      <c r="B111">
        <v>31.434146170000002</v>
      </c>
      <c r="C111">
        <v>0.78108922599999997</v>
      </c>
      <c r="D111">
        <v>2.0296477949999998</v>
      </c>
      <c r="E111">
        <v>1.789325E-3</v>
      </c>
      <c r="F111">
        <v>2.0696841859999999</v>
      </c>
      <c r="G111">
        <v>7.1386610000000001E-3</v>
      </c>
      <c r="H111">
        <v>4.0036390999999998E-2</v>
      </c>
      <c r="I111">
        <v>8.7898070000000002E-3</v>
      </c>
      <c r="J111">
        <v>30.757941590000001</v>
      </c>
      <c r="K111">
        <v>32.678815550000003</v>
      </c>
      <c r="L111">
        <v>31.5189469</v>
      </c>
      <c r="M111">
        <v>30.780880639999999</v>
      </c>
      <c r="N111">
        <v>2.0267977660000001</v>
      </c>
      <c r="O111">
        <v>2.0296094760000001</v>
      </c>
      <c r="P111">
        <v>2.0315976029999998</v>
      </c>
      <c r="Q111">
        <v>2.0305863350000002</v>
      </c>
      <c r="R111">
        <v>2.079794218</v>
      </c>
      <c r="S111">
        <v>2.0727280069999998</v>
      </c>
      <c r="T111">
        <v>2.0648178750000001</v>
      </c>
      <c r="U111">
        <v>2.0613966430000001</v>
      </c>
      <c r="V111">
        <v>5.2996451999999999E-2</v>
      </c>
      <c r="W111">
        <v>4.3118531000000002E-2</v>
      </c>
      <c r="X111">
        <v>3.3220272000000002E-2</v>
      </c>
      <c r="Y111">
        <v>3.0810308000000002E-2</v>
      </c>
      <c r="Z111">
        <v>203</v>
      </c>
      <c r="AA111">
        <v>25</v>
      </c>
      <c r="AB111">
        <v>0</v>
      </c>
      <c r="AC111">
        <v>11</v>
      </c>
      <c r="AD111">
        <v>11</v>
      </c>
      <c r="AE111">
        <v>12.18</v>
      </c>
      <c r="AF111">
        <v>0.4</v>
      </c>
      <c r="AG111">
        <v>0</v>
      </c>
      <c r="AH111">
        <v>9.6360000000000005E-3</v>
      </c>
      <c r="AI111">
        <v>12.589636</v>
      </c>
    </row>
    <row r="112" spans="1:35">
      <c r="A112" t="s">
        <v>20</v>
      </c>
      <c r="B112">
        <v>51.375358849999998</v>
      </c>
      <c r="C112">
        <v>13.787620739999999</v>
      </c>
      <c r="D112">
        <v>1.472894379</v>
      </c>
      <c r="E112">
        <v>0.83616544299999995</v>
      </c>
      <c r="F112">
        <v>1.853952703</v>
      </c>
      <c r="G112">
        <v>0.34429004800000002</v>
      </c>
      <c r="H112">
        <v>0.381058324</v>
      </c>
      <c r="I112">
        <v>0.49189145499999998</v>
      </c>
      <c r="J112">
        <v>58.006828300000002</v>
      </c>
      <c r="K112">
        <v>32.179906289999998</v>
      </c>
      <c r="L112">
        <v>24.630845860000001</v>
      </c>
      <c r="M112">
        <v>63.939341949999999</v>
      </c>
      <c r="N112">
        <v>2.0611466570000001</v>
      </c>
      <c r="O112">
        <v>0.29038295400000003</v>
      </c>
      <c r="P112">
        <v>0.87454472900000002</v>
      </c>
      <c r="Q112">
        <v>2.0671535259999998</v>
      </c>
      <c r="R112">
        <v>2.099287141</v>
      </c>
      <c r="S112">
        <v>1.367057924</v>
      </c>
      <c r="T112">
        <v>1.929848571</v>
      </c>
      <c r="U112">
        <v>2.0955130450000001</v>
      </c>
      <c r="V112">
        <v>3.8140484000000002E-2</v>
      </c>
      <c r="W112">
        <v>1.07667497</v>
      </c>
      <c r="X112">
        <v>1.055303842</v>
      </c>
      <c r="Y112">
        <v>2.8359519E-2</v>
      </c>
      <c r="Z112">
        <v>209</v>
      </c>
      <c r="AA112">
        <v>20</v>
      </c>
      <c r="AB112">
        <v>0</v>
      </c>
      <c r="AC112">
        <v>17</v>
      </c>
      <c r="AD112">
        <v>4</v>
      </c>
      <c r="AE112">
        <v>12.54</v>
      </c>
      <c r="AF112">
        <v>0.32</v>
      </c>
      <c r="AG112">
        <v>0</v>
      </c>
      <c r="AH112">
        <v>1.4892000000000001E-2</v>
      </c>
      <c r="AI112">
        <v>12.874891999999999</v>
      </c>
    </row>
    <row r="113" spans="1:35">
      <c r="A113" t="s">
        <v>20</v>
      </c>
      <c r="B113">
        <v>42.205102760000003</v>
      </c>
      <c r="C113">
        <v>0.87787611099999996</v>
      </c>
      <c r="D113">
        <v>2.1569777110000001</v>
      </c>
      <c r="E113">
        <v>7.9739649999999995E-3</v>
      </c>
      <c r="F113">
        <v>2.1378953420000002</v>
      </c>
      <c r="G113">
        <v>1.0495506E-2</v>
      </c>
      <c r="H113">
        <v>-1.9082368999999998E-2</v>
      </c>
      <c r="I113">
        <v>2.8753310000000001E-3</v>
      </c>
      <c r="J113">
        <v>43.428569850000002</v>
      </c>
      <c r="K113">
        <v>42.543847630000002</v>
      </c>
      <c r="L113">
        <v>41.775977840000003</v>
      </c>
      <c r="M113">
        <v>41.410760590000002</v>
      </c>
      <c r="N113">
        <v>2.1475710459999999</v>
      </c>
      <c r="O113">
        <v>1.433375219</v>
      </c>
      <c r="P113">
        <v>2.1670673379999998</v>
      </c>
      <c r="Q113">
        <v>2.1562947480000001</v>
      </c>
      <c r="R113">
        <v>2.124422354</v>
      </c>
      <c r="S113">
        <v>1.4151490900000001</v>
      </c>
      <c r="T113">
        <v>2.1500255739999998</v>
      </c>
      <c r="U113">
        <v>2.1392380979999999</v>
      </c>
      <c r="V113">
        <v>-2.3148691999999998E-2</v>
      </c>
      <c r="W113">
        <v>-1.8226129000000001E-2</v>
      </c>
      <c r="X113">
        <v>-1.7041764000000001E-2</v>
      </c>
      <c r="Y113">
        <v>-1.705665E-2</v>
      </c>
      <c r="Z113">
        <v>27</v>
      </c>
      <c r="AA113">
        <v>61</v>
      </c>
      <c r="AB113">
        <v>125</v>
      </c>
      <c r="AC113">
        <v>23</v>
      </c>
      <c r="AD113">
        <v>14</v>
      </c>
      <c r="AE113">
        <v>1.62</v>
      </c>
      <c r="AF113">
        <v>0.97599999999999998</v>
      </c>
      <c r="AG113">
        <v>1.75</v>
      </c>
      <c r="AH113">
        <v>2.0147999999999999E-2</v>
      </c>
      <c r="AI113">
        <v>4.3661479999999999</v>
      </c>
    </row>
    <row r="114" spans="1:35">
      <c r="A114" t="s">
        <v>20</v>
      </c>
      <c r="B114">
        <v>39.293775500000002</v>
      </c>
      <c r="C114">
        <v>0.49567192199999999</v>
      </c>
      <c r="D114">
        <v>2.1227766770000001</v>
      </c>
      <c r="E114">
        <v>2.1757456000000001E-2</v>
      </c>
      <c r="F114">
        <v>2.106357982</v>
      </c>
      <c r="G114">
        <v>2.1473842E-2</v>
      </c>
      <c r="H114">
        <v>-1.6418694000000001E-2</v>
      </c>
      <c r="I114">
        <v>6.0736500000000001E-4</v>
      </c>
      <c r="J114">
        <v>38.726569550000001</v>
      </c>
      <c r="K114">
        <v>38.894138730000002</v>
      </c>
      <c r="L114">
        <v>39.64693166</v>
      </c>
      <c r="M114">
        <v>39.907462070000001</v>
      </c>
      <c r="N114">
        <v>2.0854765510000002</v>
      </c>
      <c r="O114">
        <v>2.1322935759999999</v>
      </c>
      <c r="P114">
        <v>2.133082001</v>
      </c>
      <c r="Q114">
        <v>2.140254578</v>
      </c>
      <c r="R114">
        <v>2.069686887</v>
      </c>
      <c r="S114">
        <v>2.1152556699999998</v>
      </c>
      <c r="T114">
        <v>2.1160683040000001</v>
      </c>
      <c r="U114">
        <v>2.1244210680000002</v>
      </c>
      <c r="V114">
        <v>-1.5789663999999998E-2</v>
      </c>
      <c r="W114">
        <v>-1.7037905999999998E-2</v>
      </c>
      <c r="X114">
        <v>-1.7013697000000001E-2</v>
      </c>
      <c r="Y114">
        <v>-1.5833509999999999E-2</v>
      </c>
      <c r="Z114">
        <v>80</v>
      </c>
      <c r="AA114">
        <v>32</v>
      </c>
      <c r="AB114">
        <v>72</v>
      </c>
      <c r="AC114">
        <v>57</v>
      </c>
      <c r="AD114">
        <v>9</v>
      </c>
      <c r="AE114">
        <v>4.8</v>
      </c>
      <c r="AF114">
        <v>0.51200000000000001</v>
      </c>
      <c r="AG114">
        <v>1.008</v>
      </c>
      <c r="AH114">
        <v>4.9931999999999997E-2</v>
      </c>
      <c r="AI114">
        <v>6.3699320000000004</v>
      </c>
    </row>
    <row r="115" spans="1:35">
      <c r="A115" t="s">
        <v>20</v>
      </c>
      <c r="B115">
        <v>63.25332727</v>
      </c>
      <c r="C115">
        <v>0.90164597099999999</v>
      </c>
      <c r="D115">
        <v>2.1646314630000001</v>
      </c>
      <c r="E115">
        <v>3.509547E-3</v>
      </c>
      <c r="F115">
        <v>2.1344489879999999</v>
      </c>
      <c r="G115">
        <v>4.0855789999999998E-3</v>
      </c>
      <c r="H115">
        <v>-3.0182474000000001E-2</v>
      </c>
      <c r="I115">
        <v>5.7603299999999999E-4</v>
      </c>
      <c r="J115">
        <v>63.486159010000002</v>
      </c>
      <c r="K115">
        <v>62.018370740000002</v>
      </c>
      <c r="L115">
        <v>63.595832860000002</v>
      </c>
      <c r="M115">
        <v>64.145778199999995</v>
      </c>
      <c r="N115">
        <v>1.6094262260000001</v>
      </c>
      <c r="O115">
        <v>2.1621577410000001</v>
      </c>
      <c r="P115">
        <v>2.162141944</v>
      </c>
      <c r="Q115">
        <v>2.169594703</v>
      </c>
      <c r="R115">
        <v>1.573942202</v>
      </c>
      <c r="S115">
        <v>2.1315680399999999</v>
      </c>
      <c r="T115">
        <v>2.131552063</v>
      </c>
      <c r="U115">
        <v>2.140226862</v>
      </c>
      <c r="V115">
        <v>-3.5484024000000003E-2</v>
      </c>
      <c r="W115">
        <v>-3.0589701E-2</v>
      </c>
      <c r="X115">
        <v>-3.0589880999999999E-2</v>
      </c>
      <c r="Y115">
        <v>-2.9367840999999999E-2</v>
      </c>
      <c r="Z115">
        <v>9</v>
      </c>
      <c r="AA115">
        <v>114</v>
      </c>
      <c r="AB115">
        <v>66</v>
      </c>
      <c r="AC115">
        <v>52</v>
      </c>
      <c r="AD115">
        <v>9</v>
      </c>
      <c r="AE115">
        <v>0.54</v>
      </c>
      <c r="AF115">
        <v>1.8240000000000001</v>
      </c>
      <c r="AG115">
        <v>0.92400000000000004</v>
      </c>
      <c r="AH115">
        <v>4.5552000000000002E-2</v>
      </c>
      <c r="AI115">
        <v>3.3335520000000001</v>
      </c>
    </row>
    <row r="116" spans="1:35">
      <c r="A116" t="s">
        <v>20</v>
      </c>
      <c r="B116">
        <v>60.322716659999998</v>
      </c>
      <c r="C116">
        <v>0.64996785499999998</v>
      </c>
      <c r="D116">
        <v>2.1405084950000002</v>
      </c>
      <c r="E116">
        <v>3.4439090000000002E-3</v>
      </c>
      <c r="F116">
        <v>2.1102345279999999</v>
      </c>
      <c r="G116">
        <v>3.5780389999999999E-3</v>
      </c>
      <c r="H116">
        <v>-3.0273966999999999E-2</v>
      </c>
      <c r="I116">
        <v>1.350696E-3</v>
      </c>
      <c r="J116">
        <v>60.224175590000002</v>
      </c>
      <c r="K116">
        <v>59.310272830000002</v>
      </c>
      <c r="L116">
        <v>60.740484250000002</v>
      </c>
      <c r="M116">
        <v>61.015933969999999</v>
      </c>
      <c r="N116">
        <v>2.1461411969999999</v>
      </c>
      <c r="O116">
        <v>2.1372994580000002</v>
      </c>
      <c r="P116">
        <v>2.1404101500000001</v>
      </c>
      <c r="Q116">
        <v>2.1381831739999999</v>
      </c>
      <c r="R116">
        <v>2.1155723609999999</v>
      </c>
      <c r="S116">
        <v>2.1054915360000002</v>
      </c>
      <c r="T116">
        <v>2.109788601</v>
      </c>
      <c r="U116">
        <v>2.1100856129999999</v>
      </c>
      <c r="V116">
        <v>-3.0568835999999999E-2</v>
      </c>
      <c r="W116">
        <v>-3.1807922000000002E-2</v>
      </c>
      <c r="X116">
        <v>-3.0621549000000001E-2</v>
      </c>
      <c r="Y116">
        <v>-2.8097561E-2</v>
      </c>
      <c r="Z116">
        <v>30</v>
      </c>
      <c r="AA116">
        <v>71</v>
      </c>
      <c r="AB116">
        <v>48</v>
      </c>
      <c r="AC116">
        <v>53</v>
      </c>
      <c r="AD116">
        <v>48</v>
      </c>
      <c r="AE116">
        <v>1.8</v>
      </c>
      <c r="AF116">
        <v>1.1359999999999999</v>
      </c>
      <c r="AG116">
        <v>0.67200000000000004</v>
      </c>
      <c r="AH116">
        <v>4.6427999999999997E-2</v>
      </c>
      <c r="AI116">
        <v>3.6544279999999998</v>
      </c>
    </row>
  </sheetData>
  <autoFilter ref="A1:AI116" xr:uid="{48409EB7-6AF9-8A4A-9F80-D713A44FBC6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 of Content</vt:lpstr>
      <vt:lpstr>random_v_bo campaign</vt:lpstr>
      <vt:lpstr>Single-obj opt_HE1</vt:lpstr>
      <vt:lpstr>Multi-obj opt_HE1`</vt:lpstr>
      <vt:lpstr>Multi-obj opt_HE2</vt:lpstr>
      <vt:lpstr>Multi-obj opt_HE3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Dian-Zhao Lin</dc:creator>
  <cp:lastModifiedBy>Dian-Zhao Lin</cp:lastModifiedBy>
  <dcterms:created xsi:type="dcterms:W3CDTF">2026-02-06T16:08:48Z</dcterms:created>
  <dcterms:modified xsi:type="dcterms:W3CDTF">2026-06-17T03:21:23Z</dcterms:modified>
</cp:coreProperties>
</file>